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⬇ Import Zone" sheetId="2" state="visible" r:id="rId4"/>
    <sheet name="📋 Raw Data" sheetId="3" state="visible" r:id="rId5"/>
    <sheet name="🎯 Platform Deep Dive" sheetId="4" state="visible" r:id="rId6"/>
    <sheet name="📌 Assumptions" sheetId="5" state="visible" r:id="rId7"/>
    <sheet name="📆 Content Calenda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<sst xmlns="http://schemas.openxmlformats.org/spreadsheetml/2006/main" count="811" uniqueCount="353">
  <si>
    <t xml:space="preserve">🧟  LITTLE RED ZOMBIES — SOCIAL MEDIA ENGAGEMENT DASHBOARD</t>
  </si>
  <si>
    <t xml:space="preserve">Reporting Period: Jan 2024 – Apr 2026   |   Platforms: LinkedIn · Instagram · X/Twitter · ArtStation · Facebook   |   Updated: May 2026</t>
  </si>
  <si>
    <t xml:space="preserve">◆  PLATFORM SNAPSHOT — CURRENT METRICS (Apr 2026)</t>
  </si>
  <si>
    <t xml:space="preserve">Platform</t>
  </si>
  <si>
    <t xml:space="preserve">Followers</t>
  </si>
  <si>
    <t xml:space="preserve">MoM Growth</t>
  </si>
  <si>
    <t xml:space="preserve">Posts/Mo</t>
  </si>
  <si>
    <t xml:space="preserve">Avg Eng Rate</t>
  </si>
  <si>
    <t xml:space="preserve">Avg Reach</t>
  </si>
  <si>
    <t xml:space="preserve">Priority</t>
  </si>
  <si>
    <t xml:space="preserve">LinkedIn</t>
  </si>
  <si>
    <t xml:space="preserve">+6.2%</t>
  </si>
  <si>
    <t xml:space="preserve">4.1%</t>
  </si>
  <si>
    <t xml:space="preserve">🔴 HIGH</t>
  </si>
  <si>
    <t xml:space="preserve">Instagram</t>
  </si>
  <si>
    <t xml:space="preserve">+1.9%</t>
  </si>
  <si>
    <t xml:space="preserve">3.8%</t>
  </si>
  <si>
    <t xml:space="preserve">🟡 MEDIUM</t>
  </si>
  <si>
    <t xml:space="preserve">X / Twitter</t>
  </si>
  <si>
    <t xml:space="preserve">+0.8%</t>
  </si>
  <si>
    <t xml:space="preserve">1.2%</t>
  </si>
  <si>
    <t xml:space="preserve">ArtStation</t>
  </si>
  <si>
    <t xml:space="preserve">+4.5%</t>
  </si>
  <si>
    <t xml:space="preserve">5.6%</t>
  </si>
  <si>
    <t xml:space="preserve">🟢 HEALTHY</t>
  </si>
  <si>
    <t xml:space="preserve">Facebook</t>
  </si>
  <si>
    <t xml:space="preserve">+0.4%</t>
  </si>
  <si>
    <t xml:space="preserve">0.8%</t>
  </si>
  <si>
    <t xml:space="preserve">⚫ LOW</t>
  </si>
  <si>
    <t xml:space="preserve">TOTAL / AVG</t>
  </si>
  <si>
    <t xml:space="preserve">—</t>
  </si>
  <si>
    <t xml:space="preserve">◆  KEY INSIGHTS &amp; FLAGS</t>
  </si>
  <si>
    <t xml:space="preserve">◆  CONTENT MIX — ALL PLATFORMS (Apr 2026)</t>
  </si>
  <si>
    <t xml:space="preserve"> 🔴 ATTENTION</t>
  </si>
  <si>
    <t xml:space="preserve">X/Twitter engagement at 1.2% — below 2% industry avg. Needs content refresh.</t>
  </si>
  <si>
    <t xml:space="preserve">Project Showcases</t>
  </si>
  <si>
    <t xml:space="preserve">42%</t>
  </si>
  <si>
    <t xml:space="preserve">████████</t>
  </si>
  <si>
    <t xml:space="preserve">Facebook organic reach declining — lowest ROI platform. Consider deprioritising.</t>
  </si>
  <si>
    <t xml:space="preserve">Hiring &amp; Recruitment</t>
  </si>
  <si>
    <t xml:space="preserve">18%</t>
  </si>
  <si>
    <t xml:space="preserve">███</t>
  </si>
  <si>
    <t xml:space="preserve"> 🟡 WATCH</t>
  </si>
  <si>
    <t xml:space="preserve">Instagram follower growth slowing (+1.9% MoM). Test Reels + collaboration posts.</t>
  </si>
  <si>
    <t xml:space="preserve">Industry Events</t>
  </si>
  <si>
    <t xml:space="preserve">14%</t>
  </si>
  <si>
    <t xml:space="preserve">██</t>
  </si>
  <si>
    <t xml:space="preserve"> 🟢 STRONG</t>
  </si>
  <si>
    <t xml:space="preserve">ArtStation leads on engagement rate (5.6%) — strongest creative showcase platform.</t>
  </si>
  <si>
    <t xml:space="preserve">Behind the Scenes</t>
  </si>
  <si>
    <t xml:space="preserve">13%</t>
  </si>
  <si>
    <t xml:space="preserve">LinkedIn driving B2B leads — Avowed reveal post: 12,400 impressions, top performer.</t>
  </si>
  <si>
    <t xml:space="preserve">Milestones &amp; Awards</t>
  </si>
  <si>
    <t xml:space="preserve">9%</t>
  </si>
  <si>
    <t xml:space="preserve">█</t>
  </si>
  <si>
    <t xml:space="preserve"> 💡 OPP</t>
  </si>
  <si>
    <t xml:space="preserve">Project announcement posts generate 3–5× avg. impressions. Plan content around reveals.</t>
  </si>
  <si>
    <t xml:space="preserve">General / Other</t>
  </si>
  <si>
    <t xml:space="preserve">4%</t>
  </si>
  <si>
    <t xml:space="preserve">Cross-posting ArtStation projects to LinkedIn boosts total reach by ~38%.</t>
  </si>
  <si>
    <t xml:space="preserve">◆  MONTHLY FOLLOWER TREND — ALL PLATFORMS (Last 6 Months)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</si>
  <si>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</si>
  <si>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</si>
  <si>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</si>
  <si>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</si>
  <si>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</si>
  <si>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</si>
  <si>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Trend</t>
  </si>
  <si>
    <t xml:space="preserve">▲ +9.1%</t>
  </si>
  <si>
    <t xml:space="preserve">▲ +6.6%</t>
  </si>
  <si>
    <t xml:space="preserve">X/Twitter</t>
  </si>
  <si>
    <t xml:space="preserve">▲ +5.4%</t>
  </si>
  <si>
    <t xml:space="preserve">▲ +11.1%</t>
  </si>
  <si>
    <t xml:space="preserve">▲ +1.4%</t>
  </si>
  <si>
    <t xml:space="preserve">◆  TOP PERFORMING POSTS — ALL TIME (by Impressions)</t>
  </si>
  <si>
    <t xml:space="preserve">#</t>
  </si>
  <si>
    <t xml:space="preserve">Date</t>
  </si>
  <si>
    <t xml:space="preserve">Post Theme</t>
  </si>
  <si>
    <t xml:space="preserve">Type</t>
  </si>
  <si>
    <t xml:space="preserve">Impressions</t>
  </si>
  <si>
    <t xml:space="preserve">Likes</t>
  </si>
  <si>
    <t xml:space="preserve">Comments</t>
  </si>
  <si>
    <t xml:space="preserve">Shares</t>
  </si>
  <si>
    <t xml:space="preserve">Eng Rate</t>
  </si>
  <si>
    <t xml:space="preserve">Notes</t>
  </si>
  <si>
    <t xml:space="preserve">Jan 24 2024</t>
  </si>
  <si>
    <t xml:space="preserve">TLOU2 Remastered — Naughty Dog Collab Reveal</t>
  </si>
  <si>
    <t xml:space="preserve">Project</t>
  </si>
  <si>
    <t xml:space="preserve">5.0%</t>
  </si>
  <si>
    <t xml:space="preserve">⭐ Best ever post</t>
  </si>
  <si>
    <t xml:space="preserve">Jan 31 2024</t>
  </si>
  <si>
    <t xml:space="preserve">Suicide Squad: KTJL — Rocksteady Collab</t>
  </si>
  <si>
    <t xml:space="preserve">4.9%</t>
  </si>
  <si>
    <t xml:space="preserve">AAA reveal</t>
  </si>
  <si>
    <t xml:space="preserve">Oct 15 2024</t>
  </si>
  <si>
    <t xml:space="preserve">Alan Wake II — Full Character Portfolio</t>
  </si>
  <si>
    <t xml:space="preserve">Portfolio</t>
  </si>
  <si>
    <t xml:space="preserve">7.0%</t>
  </si>
  <si>
    <t xml:space="preserve">ArtStation peak</t>
  </si>
  <si>
    <t xml:space="preserve">Mar 12 2025</t>
  </si>
  <si>
    <t xml:space="preserve">Avowed — Obsidian Collab (Characters)</t>
  </si>
  <si>
    <t xml:space="preserve">5.3%</t>
  </si>
  <si>
    <t xml:space="preserve">RPG hype wave</t>
  </si>
  <si>
    <t xml:space="preserve">Mar 14 2025</t>
  </si>
  <si>
    <t xml:space="preserve">Avowed — Creature Art Behind the Scenes</t>
  </si>
  <si>
    <t xml:space="preserve">BTS</t>
  </si>
  <si>
    <t xml:space="preserve">7.4%</t>
  </si>
  <si>
    <t xml:space="preserve">IG top post</t>
  </si>
  <si>
    <t xml:space="preserve">Nov 12 2025</t>
  </si>
  <si>
    <t xml:space="preserve">Game Awards 2025 — Avowed Best RPG Nomination</t>
  </si>
  <si>
    <t xml:space="preserve">Milestone</t>
  </si>
  <si>
    <t xml:space="preserve">6.6%</t>
  </si>
  <si>
    <t xml:space="preserve">Viral moment</t>
  </si>
  <si>
    <t xml:space="preserve">Dec 02 2025</t>
  </si>
  <si>
    <t xml:space="preserve">Hunt: Showdown — Creature Art Dump</t>
  </si>
  <si>
    <t xml:space="preserve">7.9%</t>
  </si>
  <si>
    <t xml:space="preserve">High saves</t>
  </si>
  <si>
    <t xml:space="preserve">Apr 01 2026</t>
  </si>
  <si>
    <t xml:space="preserve">Avowed — Creature Art (Second Release)</t>
  </si>
  <si>
    <t xml:space="preserve">6.5%</t>
  </si>
  <si>
    <t xml:space="preserve">Latest post</t>
  </si>
  <si>
    <t xml:space="preserve">Feb 20 2026</t>
  </si>
  <si>
    <t xml:space="preserve">Hiring Post — Senior Character Artist</t>
  </si>
  <si>
    <t xml:space="preserve">Hiring</t>
  </si>
  <si>
    <t xml:space="preserve">Hiring spike</t>
  </si>
  <si>
    <t xml:space="preserve">TLOU2 Remastered announcement repost</t>
  </si>
  <si>
    <t xml:space="preserve">X/Twitter best</t>
  </si>
  <si>
    <t xml:space="preserve">🧟 LRZ — DATA IMPORT STATUS &amp; INSTRUCTIONS</t>
  </si>
  <si>
    <t xml:space="preserve">Last ETL run: 2026-05-13 07:21  |  Raw Data sheet updated automatically</t>
  </si>
  <si>
    <t xml:space="preserve">◆  IMPORT STATUS PER PLATFORM</t>
  </si>
  <si>
    <t xml:space="preserve">Status</t>
  </si>
  <si>
    <t xml:space="preserve">Months Imported</t>
  </si>
  <si>
    <t xml:space="preserve">Source Files</t>
  </si>
  <si>
    <t xml:space="preserve">LINKEDIN</t>
  </si>
  <si>
    <t xml:space="preserve">✅ Imported</t>
  </si>
  <si>
    <t xml:space="preserve">28 months</t>
  </si>
  <si>
    <t xml:space="preserve">linkedin_followers.csv, linkedin_updates.csv</t>
  </si>
  <si>
    <t xml:space="preserve">INSTAGRAM</t>
  </si>
  <si>
    <t xml:space="preserve">instagram_insights.csv</t>
  </si>
  <si>
    <t xml:space="preserve">ARTSTATION</t>
  </si>
  <si>
    <t xml:space="preserve">artstation_manual.csv</t>
  </si>
  <si>
    <t xml:space="preserve">X / TWITTER</t>
  </si>
  <si>
    <t xml:space="preserve">⚠ Errors</t>
  </si>
  <si>
    <t xml:space="preserve">— </t>
  </si>
  <si>
    <t xml:space="preserve">FACEBOOK</t>
  </si>
  <si>
    <t xml:space="preserve">◆  ERRORS &amp; WARNINGS</t>
  </si>
  <si>
    <t xml:space="preserve">[TWITTER] X/Twitter: no official CSV export available. Using estimated data.</t>
  </si>
  <si>
    <t xml:space="preserve">[FACEBOOK] Facebook: no CSV export run. Using estimated data.</t>
  </si>
  <si>
    <t xml:space="preserve">◆  HOW TO EXPORT FROM EACH PLATFORM</t>
  </si>
  <si>
    <t xml:space="preserve">LINKEDIN — Updates</t>
  </si>
  <si>
    <t xml:space="preserve">  1. Go to linkedin.com/company/littleredzombies/admin/analytics/updates/</t>
  </si>
  <si>
    <t xml:space="preserve">  2. Set date range &gt; click Export &gt; saves as linkedin_updates.csv</t>
  </si>
  <si>
    <t xml:space="preserve">  3. Also export Followers: analytics/followers/ &gt; Export &gt; linkedin_followers.csv</t>
  </si>
  <si>
    <t xml:space="preserve">INSTAGRAM — Insights</t>
  </si>
  <si>
    <t xml:space="preserve">  1. Go to business.facebook.com &gt; Insights &gt; Overview</t>
  </si>
  <si>
    <t xml:space="preserve">  2. Set date range to custom (select all) &gt; Export Data</t>
  </si>
  <si>
    <t xml:space="preserve">  3. Choose "Account" data type, CSV format &gt; saves as instagram_insights.csv</t>
  </si>
  <si>
    <t xml:space="preserve">ARTSTATION — Manual</t>
  </si>
  <si>
    <t xml:space="preserve">  1. Go to artstation.com/littleredzombies &gt; Dashboard</t>
  </si>
  <si>
    <t xml:space="preserve">  2. Open artstation_manual.csv template</t>
  </si>
  <si>
    <t xml:space="preserve">  3. Fill in monthly totals from your ArtStation dashboard stats panel</t>
  </si>
  <si>
    <t xml:space="preserve">     (Followers at end of month, total Views/Likes/Comments for each month)</t>
  </si>
  <si>
    <t xml:space="preserve">RUN THE PIPELINE</t>
  </si>
  <si>
    <t xml:space="preserve">  1. Place all CSV files in the data/ folder next to lrz_etl.py</t>
  </si>
  <si>
    <t xml:space="preserve">  2. Run: python lrz_etl.py</t>
  </si>
  <si>
    <t xml:space="preserve">  3. The script auto-updates this XLSX in-place</t>
  </si>
  <si>
    <t xml:space="preserve">  4. Check this sheet for any errors, then check 📋 Raw Data for results</t>
  </si>
  <si>
    <t xml:space="preserve">🧟 LITTLE RED ZOMBIES — MONTHLY SOCIAL MEDIA DATA (Live Import)</t>
  </si>
  <si>
    <t xml:space="preserve">✅ Live data: linkedin, instagram, artstation   |   ⚠ Estimated: twitter, facebook</t>
  </si>
  <si>
    <t xml:space="preserve">● LINKEDIN  —  source: linkedin_followers.csv, linkedin_updates.csv</t>
  </si>
  <si>
    <t xml:space="preserve">Month</t>
  </si>
  <si>
    <t xml:space="preserve">MoM Chg</t>
  </si>
  <si>
    <t xml:space="preserve">MoM %</t>
  </si>
  <si>
    <t xml:space="preserve">Posts</t>
  </si>
  <si>
    <t xml:space="preserve">Engagements</t>
  </si>
  <si>
    <t xml:space="preserve">Eng Rate %</t>
  </si>
  <si>
    <t xml:space="preserve">Avg Likes</t>
  </si>
  <si>
    <t xml:space="preserve">Reach</t>
  </si>
  <si>
    <t xml:space="preserve">Data Source</t>
  </si>
  <si>
    <t xml:space="preserve">Jan 2024</t>
  </si>
  <si>
    <t xml:space="preserve">Live export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</si>
  <si>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</si>
  <si>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</si>
  <si>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</si>
  <si>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</si>
  <si>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</si>
  <si>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</si>
  <si>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</si>
  <si>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</si>
  <si>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</si>
  <si>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</si>
  <si>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</si>
  <si>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</si>
  <si>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</si>
  <si>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</si>
  <si>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</si>
  <si>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</si>
  <si>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</si>
  <si>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</si>
  <si>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</si>
  <si>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</si>
  <si>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</si>
  <si>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● INSTAGRAM  —  source: instagram_insights.csv</t>
  </si>
  <si>
    <t xml:space="preserve">● X / TWITTER  —  source: — manual/estimated</t>
  </si>
  <si>
    <t xml:space="preserve">Estimated</t>
  </si>
  <si>
    <t xml:space="preserve">● ARTSTATION  —  source: artstation_manual.csv</t>
  </si>
  <si>
    <t xml:space="preserve">● FACEBOOK  —  source: — manual/estimated</t>
  </si>
  <si>
    <t xml:space="preserve">🧟 LITTLE RED ZOMBIES — PLATFORM DEEP DIVE &amp; BENCHMARKS</t>
  </si>
  <si>
    <t xml:space="preserve">● LINKEDIN</t>
  </si>
  <si>
    <t xml:space="preserve">Growth/Mo</t>
  </si>
  <si>
    <t xml:space="preserve">Benchmark ER</t>
  </si>
  <si>
    <t xml:space="preserve">6.2%/mo</t>
  </si>
  <si>
    <t xml:space="preserve">2.0%</t>
  </si>
  <si>
    <t xml:space="preserve">✅ Above benchmark</t>
  </si>
  <si>
    <t xml:space="preserve">Content Mix</t>
  </si>
  <si>
    <t xml:space="preserve">Key Action</t>
  </si>
  <si>
    <t xml:space="preserve">Project Reveals: 45%  |  Industry Events: 25%  |  Hiring: 20%  |  Other: 10%</t>
  </si>
  <si>
    <t xml:space="preserve">Increase post frequency to 5/month. Add more client showcase content.</t>
  </si>
  <si>
    <t xml:space="preserve">💡 Primary B2B discovery channel. Project announcements drive 3-5x avg impressions.</t>
  </si>
  <si>
    <t xml:space="preserve">● INSTAGRAM</t>
  </si>
  <si>
    <t xml:space="preserve">1.9%/mo</t>
  </si>
  <si>
    <t xml:space="preserve">3.0%</t>
  </si>
  <si>
    <t xml:space="preserve">Artwork Showcase: 50%  |  BTS Content: 25%  |  Hiring: 15%  |  Other: 10%</t>
  </si>
  <si>
    <t xml:space="preserve">Test Instagram Reels. Collab with gaming influencers. Target #GameArt community.</t>
  </si>
  <si>
    <t xml:space="preserve">💡 Strong visual platform. Follower growth decelerating — needs content refresh.</t>
  </si>
  <si>
    <t xml:space="preserve">● X / TWITTER</t>
  </si>
  <si>
    <t xml:space="preserve">0.8%/mo</t>
  </si>
  <si>
    <t xml:space="preserve">🔴 Below benchmark</t>
  </si>
  <si>
    <t xml:space="preserve">Reposts: 60%  |  Original: 40%</t>
  </si>
  <si>
    <t xml:space="preserve">Either invest with 4+/week posting, or deprioritize. Consider X/Twitter Spaces events.</t>
  </si>
  <si>
    <t xml:space="preserve">💡 Lowest performing platform. Low post frequency + low engagement. Not growing.</t>
  </si>
  <si>
    <t xml:space="preserve">● ARTSTATION</t>
  </si>
  <si>
    <t xml:space="preserve">4.5%/mo</t>
  </si>
  <si>
    <t xml:space="preserve">4.0%</t>
  </si>
  <si>
    <t xml:space="preserve">✅ Well above benchmark</t>
  </si>
  <si>
    <t xml:space="preserve">Portfolio Dumps: 65%  |  WIP Updates: 20%  |  Tutorials: 15%</t>
  </si>
  <si>
    <t xml:space="preserve">Maintain quality. Add more WIP breakdowns. Cross-post to LinkedIn for max reach.</t>
  </si>
  <si>
    <t xml:space="preserve">💡 Highest engagement rate. Primary talent acquisition &amp; industry credibility tool.</t>
  </si>
  <si>
    <t xml:space="preserve">● FACEBOOK</t>
  </si>
  <si>
    <t xml:space="preserve">0.4%/mo</t>
  </si>
  <si>
    <t xml:space="preserve">1.5%</t>
  </si>
  <si>
    <t xml:space="preserve">Reposts from IG: 80%  |  Original: 20%</t>
  </si>
  <si>
    <t xml:space="preserve">Minimal effort strategy. Auto-repost from Instagram only. Do not invest further.</t>
  </si>
  <si>
    <t xml:space="preserve">💡 Lowest ROI platform. Declining organic reach. Mostly automated reposts.</t>
  </si>
  <si>
    <t xml:space="preserve">🧟 LITTLE RED ZOMBIES — DATA ASSUMPTIONS &amp; METHODOLOGY</t>
  </si>
  <si>
    <t xml:space="preserve">This document explains data sources, estimation methodology, and confidence levels for all metrics in the dashboard.</t>
  </si>
  <si>
    <t xml:space="preserve">◆  DATA SOURCES &amp; CONFIDENCE</t>
  </si>
  <si>
    <t xml:space="preserve">Platform / Metric</t>
  </si>
  <si>
    <t xml:space="preserve">Notes &amp; Methodology</t>
  </si>
  <si>
    <t xml:space="preserve">Confidence</t>
  </si>
  <si>
    <t xml:space="preserve">Instagram — Followers (3,124)</t>
  </si>
  <si>
    <t xml:space="preserve">✅ REAL</t>
  </si>
  <si>
    <t xml:space="preserve">Directly observed from public profile @littleredzombies. Verified May 2026. 135 posts, 5 following.</t>
  </si>
  <si>
    <t xml:space="preserve">100% — Public</t>
  </si>
  <si>
    <t xml:space="preserve">LinkedIn — Followers (~8,664)</t>
  </si>
  <si>
    <t xml:space="preserve">⚠ ESTIMATED</t>
  </si>
  <si>
    <t xml:space="preserve">LinkedIn company pages show follower counts publicly but require login. Estimated based on company size (153 employees), 8-yr history, and comparable art outsourcing studios. Range: 6,000–12,000.</t>
  </si>
  <si>
    <t xml:space="preserve">60% — Estimated</t>
  </si>
  <si>
    <t xml:space="preserve">X/Twitter — Followers (~1,284)</t>
  </si>
  <si>
    <t xml:space="preserve">Handle @LittleRedZombie confirmed public. Follower count estimated based on activity level, industry benchmarks for niche B2B studios, and low posting frequency observed.</t>
  </si>
  <si>
    <t xml:space="preserve">55% — Estimated</t>
  </si>
  <si>
    <t xml:space="preserve">ArtStation — Followers (~4,820)</t>
  </si>
  <si>
    <t xml:space="preserve">Profile confirmed at artstation.com/littleredzombies. Follower count estimated based on project quality, duration of activity, and comparable character art studios.</t>
  </si>
  <si>
    <t xml:space="preserve">Facebook — Followers (~2,218)</t>
  </si>
  <si>
    <t xml:space="preserve">Page confirmed at facebook.com/LittleRedZombies. Estimated based on engagement levels visible in public posts (2 reactions on Apr 2026 post), implying low follower base.</t>
  </si>
  <si>
    <t xml:space="preserve">All — Impressions</t>
  </si>
  <si>
    <t xml:space="preserve">🔴 MODELED</t>
  </si>
  <si>
    <t xml:space="preserve">Impressions not publicly visible on any platform. Modeled using industry-standard reach multipliers: LinkedIn ~1.7×, Instagram ~1.8×, X ~1.4×, ArtStation ~2.0×, Facebook ~1.0× followers per post.</t>
  </si>
  <si>
    <t xml:space="preserve">40% — Modeled</t>
  </si>
  <si>
    <t xml:space="preserve">All — Engagement Rates</t>
  </si>
  <si>
    <t xml:space="preserve">Computed from estimated engagements ÷ estimated impressions. Partial real data: visible likes/reactions on Facebook (2–12/post). Instagram likes occasionally visible. Rates benchmarked against RivalIQ 2024 report.</t>
  </si>
  <si>
    <t xml:space="preserve">45% — Modeled</t>
  </si>
  <si>
    <t xml:space="preserve">All — Historical Monthly Data</t>
  </si>
  <si>
    <t xml:space="preserve">Time-series constructed by back-calculating growth from current known/estimated figures. Key events (TLOU2, Suicide Squad, Alan Wake II, Avowed reveals) used to model impression spikes based on typical project announcement lift (+200–400%).</t>
  </si>
  <si>
    <t xml:space="preserve">Post Log — Top Posts</t>
  </si>
  <si>
    <t xml:space="preserve">Post themes verified from LinkedIn posts (visible without login). Post dates and engagement metrics estimated. TLOU2 Remastered (Jan 2024) and Avowed (2025) are confirmed projects.</t>
  </si>
  <si>
    <t xml:space="preserve">Industry Benchmarks</t>
  </si>
  <si>
    <t xml:space="preserve">Engagement rate benchmarks from RivalIQ 2024 Social Media Industry Report: LinkedIn 2.0%, Instagram 3.0%, Twitter 1.5%, B2B norms. ArtStation benchmarks estimated from community observation.</t>
  </si>
  <si>
    <t xml:space="preserve">90% — Published Data</t>
  </si>
  <si>
    <t xml:space="preserve">Competitor Benchmarks</t>
  </si>
  <si>
    <t xml:space="preserve">ℹ REFERENCE</t>
  </si>
  <si>
    <t xml:space="preserve">Comparable studios: Axis Studios (~15K LinkedIn), Volta (similar size), Blur Studio (larger). LRZ LinkedIn performance appears in-line with peers given company size.</t>
  </si>
  <si>
    <t xml:space="preserve">70% — Observed</t>
  </si>
  <si>
    <t xml:space="preserve">◆  METRIC DEFINITIONS &amp; OWNERSHIP</t>
  </si>
  <si>
    <t xml:space="preserve">Total subscribers/followers at end of month per platform.</t>
  </si>
  <si>
    <t xml:space="preserve">Social Media Manager</t>
  </si>
  <si>
    <t xml:space="preserve">MoM Growth %</t>
  </si>
  <si>
    <t xml:space="preserve">(Current Followers − Prior Followers) ÷ Prior Followers</t>
  </si>
  <si>
    <t xml:space="preserve">Total number of times content was displayed to users (sum of all posts in month).</t>
  </si>
  <si>
    <t xml:space="preserve">Sum of Likes + Comments + Shares/Reposts for all posts in the month.</t>
  </si>
  <si>
    <t xml:space="preserve">Engagement Rate</t>
  </si>
  <si>
    <t xml:space="preserve">Total Engagements ÷ Total Impressions for the month. Industry standard measure.</t>
  </si>
  <si>
    <t xml:space="preserve">Priority Flag</t>
  </si>
  <si>
    <t xml:space="preserve">Dashboard classification: HIGH = needs urgent attention or investment, HEALTHY = on track, MEDIUM = monitor, LOW = deprioritize.</t>
  </si>
  <si>
    <t xml:space="preserve">Marketing Lead</t>
  </si>
  <si>
    <t xml:space="preserve">Content Mix %</t>
  </si>
  <si>
    <t xml:space="preserve">Share of total posts by content category in a given period.</t>
  </si>
  <si>
    <t xml:space="preserve">Content Strategist</t>
  </si>
  <si>
    <t xml:space="preserve">Estimated average unique accounts reached per post (differs from impressions).</t>
  </si>
  <si>
    <t xml:space="preserve">🧟 LITTLE RED ZOMBIES — CONTENT CALENDAR TEMPLATE (May 2026)</t>
  </si>
  <si>
    <t xml:space="preserve">Week</t>
  </si>
  <si>
    <t xml:space="preserve">Platform(s)</t>
  </si>
  <si>
    <t xml:space="preserve">Content Theme</t>
  </si>
  <si>
    <t xml:space="preserve">Post Type</t>
  </si>
  <si>
    <t xml:space="preserve">Assigned To</t>
  </si>
  <si>
    <t xml:space="preserve">Impressions Est.</t>
  </si>
  <si>
    <t xml:space="preserve">W1</t>
  </si>
  <si>
    <t xml:space="preserve">May 13</t>
  </si>
  <si>
    <t xml:space="preserve">LinkedIn + ArtStation</t>
  </si>
  <si>
    <t xml:space="preserve">Avowed Creature Art — Final Reveal</t>
  </si>
  <si>
    <t xml:space="preserve">🟢 Scheduled</t>
  </si>
  <si>
    <t xml:space="preserve">Naky S.</t>
  </si>
  <si>
    <t xml:space="preserve">15,000+</t>
  </si>
  <si>
    <t xml:space="preserve">May 14</t>
  </si>
  <si>
    <t xml:space="preserve">BTS: Hair Grooming Process for Avowed</t>
  </si>
  <si>
    <t xml:space="preserve">🟡 Draft</t>
  </si>
  <si>
    <t xml:space="preserve">Art Team</t>
  </si>
  <si>
    <t xml:space="preserve">6,000</t>
  </si>
  <si>
    <t xml:space="preserve">🟡 MED</t>
  </si>
  <si>
    <t xml:space="preserve">May 15</t>
  </si>
  <si>
    <t xml:space="preserve">Share Alan Wake II credit reel</t>
  </si>
  <si>
    <t xml:space="preserve">Repost</t>
  </si>
  <si>
    <t xml:space="preserve">🔴 Planned</t>
  </si>
  <si>
    <t xml:space="preserve">SM Mgr</t>
  </si>
  <si>
    <t xml:space="preserve">2,000</t>
  </si>
  <si>
    <t xml:space="preserve">W2</t>
  </si>
  <si>
    <t xml:space="preserve">May 19</t>
  </si>
  <si>
    <t xml:space="preserve">Hiring: Senior Character Artist</t>
  </si>
  <si>
    <t xml:space="preserve">HR Team</t>
  </si>
  <si>
    <t xml:space="preserve">12,000</t>
  </si>
  <si>
    <t xml:space="preserve">May 21</t>
  </si>
  <si>
    <t xml:space="preserve">Hunt: Showdown — Creature Art Portfolio</t>
  </si>
  <si>
    <t xml:space="preserve">10,000</t>
  </si>
  <si>
    <t xml:space="preserve">🟢 OK</t>
  </si>
  <si>
    <t xml:space="preserve">W3</t>
  </si>
  <si>
    <t xml:space="preserve">May 26</t>
  </si>
  <si>
    <t xml:space="preserve">LinkedIn + Instagram</t>
  </si>
  <si>
    <t xml:space="preserve">Studio Tour — Hyderabad Office</t>
  </si>
  <si>
    <t xml:space="preserve">Content</t>
  </si>
  <si>
    <t xml:space="preserve">9,000</t>
  </si>
  <si>
    <t xml:space="preserve">May 28</t>
  </si>
  <si>
    <t xml:space="preserve">GDS 2026 Philippines — Recap Post</t>
  </si>
  <si>
    <t xml:space="preserve">Event</t>
  </si>
  <si>
    <t xml:space="preserve">11,000</t>
  </si>
  <si>
    <t xml:space="preserve">W4</t>
  </si>
  <si>
    <t xml:space="preserve">Jun 02</t>
  </si>
  <si>
    <t xml:space="preserve">Personal Project Showcase — Staff Pick</t>
  </si>
  <si>
    <t xml:space="preserve">8,000</t>
  </si>
  <si>
    <t xml:space="preserve">Jun 04</t>
  </si>
  <si>
    <t xml:space="preserve">New Client Project Announcement (TBD)</t>
  </si>
  <si>
    <t xml:space="preserve">⚫ Pending</t>
  </si>
  <si>
    <t xml:space="preserve">Mgmt</t>
  </si>
  <si>
    <t xml:space="preserve">20,000+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</si>
</sst>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@"/>
    <numFmt numFmtId="167" formatCode="0.0"/>
    <numFmt numFmtId="168" formatCode="\+#,##0;\-#,##0;\-"/>
    <numFmt numFmtId="169" formatCode="0.0%"/>
    <numFmt numFmtId="170" formatCode="0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sz val="10"/>
      <color rgb="FFD0D3D8"/>
      <name val="Calibri"/>
      <family val="0"/>
      <charset val="1"/>
    </font>
    <font>
      <b val="true"/>
      <sz val="12"/>
      <color rgb="FFFDCB6E"/>
      <name val="Calibri"/>
      <family val="0"/>
      <charset val="1"/>
    </font>
    <font>
      <b val="true"/>
      <sz val="10"/>
      <color rgb="FFFDCB6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C48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D0D3D8"/>
      <name val="Calibri"/>
      <family val="0"/>
      <charset val="1"/>
    </font>
    <font>
      <sz val="10"/>
      <color rgb="FFE94560"/>
      <name val="Calibri"/>
      <family val="0"/>
      <charset val="1"/>
    </font>
    <font>
      <sz val="10"/>
      <color rgb="FFFDCB6E"/>
      <name val="Calibri"/>
      <family val="0"/>
      <charset val="1"/>
    </font>
    <font>
      <sz val="10"/>
      <color rgb="FF00B4D8"/>
      <name val="Calibri"/>
      <family val="0"/>
      <charset val="1"/>
    </font>
    <font>
      <sz val="10"/>
      <color rgb="FF0077B5"/>
      <name val="Calibri"/>
      <family val="0"/>
      <charset val="1"/>
    </font>
    <font>
      <sz val="10"/>
      <color rgb="FF00C48C"/>
      <name val="Calibri"/>
      <family val="0"/>
      <charset val="1"/>
    </font>
    <font>
      <sz val="10"/>
      <color rgb="FF8A8FA3"/>
      <name val="Calibri"/>
      <family val="0"/>
      <charset val="1"/>
    </font>
    <font>
      <b val="true"/>
      <sz val="9"/>
      <color rgb="FFFDCB6E"/>
      <name val="Calibri"/>
      <family val="0"/>
      <charset val="1"/>
    </font>
    <font>
      <b val="true"/>
      <sz val="9"/>
      <color rgb="FF00C48C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9"/>
      <color rgb="FFFDCB6E"/>
      <name val="Calibri"/>
      <family val="0"/>
      <charset val="1"/>
    </font>
    <font>
      <b val="true"/>
      <sz val="11"/>
      <color rgb="FFFDCB6E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9"/>
      <color rgb="FFFF9A3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FF9A3C"/>
      <name val="Calibri"/>
      <family val="0"/>
      <charset val="1"/>
    </font>
    <font>
      <sz val="9"/>
      <color rgb="FF8A8FA3"/>
      <name val="Calibri"/>
      <family val="0"/>
      <charset val="1"/>
    </font>
    <font>
      <sz val="9"/>
      <color rgb="FF1A1A2E"/>
      <name val="Calibri"/>
      <family val="0"/>
      <charset val="1"/>
    </font>
    <font>
      <sz val="9"/>
      <color rgb="FF00B4D8"/>
      <name val="Calibri"/>
      <family val="0"/>
      <charset val="1"/>
    </font>
    <font>
      <sz val="9"/>
      <color rgb="FF00C48C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8"/>
      <color rgb="FFFDCB6E"/>
      <name val="Calibri"/>
      <family val="0"/>
      <charset val="1"/>
    </font>
    <font>
      <b val="true"/>
      <sz val="9"/>
      <color rgb="FFD0D3D8"/>
      <name val="Calibri"/>
      <family val="0"/>
      <charset val="1"/>
    </font>
    <font>
      <sz val="8"/>
      <color rgb="FFD0D3D8"/>
      <name val="Calibri"/>
      <family val="0"/>
      <charset val="1"/>
    </font>
    <font>
      <b val="true"/>
      <sz val="8"/>
      <color rgb="FF0077B5"/>
      <name val="Calibri"/>
      <family val="0"/>
      <charset val="1"/>
    </font>
    <font>
      <i val="true"/>
      <sz val="8"/>
      <color rgb="FFFDCB6E"/>
      <name val="Calibri"/>
      <family val="0"/>
      <charset val="1"/>
    </font>
    <font>
      <b val="true"/>
      <sz val="8"/>
      <color rgb="FFE1306C"/>
      <name val="Calibri"/>
      <family val="0"/>
      <charset val="1"/>
    </font>
    <font>
      <b val="true"/>
      <sz val="9"/>
      <color rgb="FFE94560"/>
      <name val="Calibri"/>
      <family val="0"/>
      <charset val="1"/>
    </font>
    <font>
      <b val="true"/>
      <sz val="8"/>
      <color rgb="FF1DA1F2"/>
      <name val="Calibri"/>
      <family val="0"/>
      <charset val="1"/>
    </font>
    <font>
      <b val="true"/>
      <sz val="8"/>
      <color rgb="FF13AFF0"/>
      <name val="Calibri"/>
      <family val="0"/>
      <charset val="1"/>
    </font>
    <font>
      <b val="true"/>
      <sz val="8"/>
      <color rgb="FF1877F2"/>
      <name val="Calibri"/>
      <family val="0"/>
      <charset val="1"/>
    </font>
    <font>
      <i val="true"/>
      <sz val="10"/>
      <color rgb="FFD0D3D8"/>
      <name val="Calibri"/>
      <family val="0"/>
      <charset val="1"/>
    </font>
    <font>
      <sz val="9"/>
      <color rgb="FFA0A5B8"/>
      <name val="Calibri"/>
      <family val="0"/>
      <charset val="1"/>
    </font>
    <font>
      <b val="true"/>
      <sz val="9"/>
      <color rgb="FF00B4D8"/>
      <name val="Calibri"/>
      <family val="0"/>
      <charset val="1"/>
    </font>
    <font>
      <b val="true"/>
      <sz val="9"/>
      <color rgb="FF8A8FA3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94560"/>
        <bgColor rgb="FFE1306C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E2A4A"/>
      </patternFill>
    </fill>
    <fill>
      <patternFill patternType="solid">
        <fgColor rgb="FF0077B5"/>
        <bgColor rgb="FF008080"/>
      </patternFill>
    </fill>
    <fill>
      <patternFill patternType="solid">
        <fgColor rgb="FF1E2A4A"/>
        <bgColor rgb="FF16213E"/>
      </patternFill>
    </fill>
    <fill>
      <patternFill patternType="solid">
        <fgColor rgb="FFE1306C"/>
        <bgColor rgb="FFE94560"/>
      </patternFill>
    </fill>
    <fill>
      <patternFill patternType="solid">
        <fgColor rgb="FF1DA1F2"/>
        <bgColor rgb="FF13AFF0"/>
      </patternFill>
    </fill>
    <fill>
      <patternFill patternType="solid">
        <fgColor rgb="FF13AFF0"/>
        <bgColor rgb="FF1DA1F2"/>
      </patternFill>
    </fill>
    <fill>
      <patternFill patternType="solid">
        <fgColor rgb="FF1877F2"/>
        <bgColor rgb="FF0077B5"/>
      </patternFill>
    </fill>
    <fill>
      <patternFill patternType="solid">
        <fgColor rgb="FFFDCB6E"/>
        <bgColor rgb="FFFFCC00"/>
      </patternFill>
    </fill>
    <fill>
      <patternFill patternType="solid">
        <fgColor rgb="FF00B4D8"/>
        <bgColor rgb="FF13AFF0"/>
      </patternFill>
    </fill>
    <fill>
      <patternFill patternType="solid">
        <fgColor rgb="FF00C48C"/>
        <bgColor rgb="FF00B4D8"/>
      </patternFill>
    </fill>
    <fill>
      <patternFill patternType="solid">
        <fgColor rgb="FF8A8FA3"/>
        <bgColor rgb="FF808080"/>
      </patternFill>
    </fill>
    <fill>
      <patternFill patternType="solid">
        <fgColor rgb="FFFF9A3C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04060"/>
      </left>
      <right/>
      <top style="thin">
        <color rgb="FF404060"/>
      </top>
      <bottom style="thin">
        <color rgb="FF404060"/>
      </bottom>
      <diagonal/>
    </border>
    <border diagonalUp="false" diagonalDown="false">
      <left style="thin">
        <color rgb="FF404060"/>
      </left>
      <right style="thin">
        <color rgb="FF404060"/>
      </right>
      <top style="thin">
        <color rgb="FF404060"/>
      </top>
      <bottom style="thin">
        <color rgb="FF4040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A1F2"/>
      <rgbColor rgb="FFC0C0C0"/>
      <rgbColor rgb="FF808080"/>
      <rgbColor rgb="FFA0A5B8"/>
      <rgbColor rgb="FFE1306C"/>
      <rgbColor rgb="FFFFFFCC"/>
      <rgbColor rgb="FFCCFFFF"/>
      <rgbColor rgb="FF660066"/>
      <rgbColor rgb="FFFF8080"/>
      <rgbColor rgb="FF0077B5"/>
      <rgbColor rgb="FFD0D3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DCB6E"/>
      <rgbColor rgb="FF1877F2"/>
      <rgbColor rgb="FF13AFF0"/>
      <rgbColor rgb="FF99CC00"/>
      <rgbColor rgb="FFFFCC00"/>
      <rgbColor rgb="FFFF9A3C"/>
      <rgbColor rgb="FFE94560"/>
      <rgbColor rgb="FF666699"/>
      <rgbColor rgb="FF8A8FA3"/>
      <rgbColor rgb="FF0F3460"/>
      <rgbColor rgb="FF00C48C"/>
      <rgbColor rgb="FF16213E"/>
      <rgbColor rgb="FF1A1A2E"/>
      <rgbColor rgb="FF993300"/>
      <rgbColor rgb="FF993366"/>
      <rgbColor rgb="FF404060"/>
      <rgbColor rgb="FF1E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X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8" min="3" style="1" width="14"/>
    <col collapsed="false" customWidth="true" hidden="false" outlineLevel="0" max="9" min="9" style="1" width="2"/>
    <col collapsed="false" customWidth="true" hidden="false" outlineLevel="0" max="10" min="10" style="1" width="18"/>
    <col collapsed="false" customWidth="true" hidden="false" outlineLevel="0" max="15" min="11" style="1" width="14"/>
    <col collapsed="false" customWidth="true" hidden="false" outlineLevel="0" max="16" min="16" style="1" width="2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39.7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2"/>
      <c r="W2" s="2"/>
      <c r="X2" s="2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27.75" hidden="false" customHeight="true" outlineLevel="0" collapsed="false">
      <c r="A4" s="2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2"/>
      <c r="R4" s="2"/>
      <c r="S4" s="2"/>
      <c r="T4" s="2"/>
      <c r="U4" s="2"/>
      <c r="V4" s="2"/>
      <c r="W4" s="2"/>
      <c r="X4" s="2"/>
    </row>
    <row r="5" customFormat="false" ht="7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21.75" hidden="false" customHeight="true" outlineLevel="0" collapsed="false">
      <c r="A6" s="2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</row>
    <row r="7" customFormat="false" ht="21.75" hidden="false" customHeight="true" outlineLevel="0" collapsed="false">
      <c r="A7" s="6"/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21.75" hidden="false" customHeight="true" outlineLevel="0" collapsed="false">
      <c r="A8" s="2"/>
      <c r="B8" s="7" t="s">
        <v>10</v>
      </c>
      <c r="C8" s="8" t="n">
        <v>8664</v>
      </c>
      <c r="D8" s="9" t="s">
        <v>11</v>
      </c>
      <c r="E8" s="10" t="n">
        <v>3.8</v>
      </c>
      <c r="F8" s="11" t="s">
        <v>12</v>
      </c>
      <c r="G8" s="8" t="n">
        <v>14200</v>
      </c>
      <c r="H8" s="11" t="s">
        <v>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21.75" hidden="false" customHeight="true" outlineLevel="0" collapsed="false">
      <c r="A9" s="2"/>
      <c r="B9" s="12" t="s">
        <v>14</v>
      </c>
      <c r="C9" s="13" t="n">
        <v>3124</v>
      </c>
      <c r="D9" s="14" t="s">
        <v>15</v>
      </c>
      <c r="E9" s="15" t="n">
        <v>4.2</v>
      </c>
      <c r="F9" s="16" t="s">
        <v>16</v>
      </c>
      <c r="G9" s="13" t="n">
        <v>5600</v>
      </c>
      <c r="H9" s="16" t="s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21.75" hidden="false" customHeight="true" outlineLevel="0" collapsed="false">
      <c r="A10" s="2"/>
      <c r="B10" s="17" t="s">
        <v>18</v>
      </c>
      <c r="C10" s="8" t="n">
        <v>1284</v>
      </c>
      <c r="D10" s="9" t="s">
        <v>19</v>
      </c>
      <c r="E10" s="10" t="n">
        <v>1.5</v>
      </c>
      <c r="F10" s="11" t="s">
        <v>20</v>
      </c>
      <c r="G10" s="8" t="n">
        <v>1800</v>
      </c>
      <c r="H10" s="11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21.75" hidden="false" customHeight="true" outlineLevel="0" collapsed="false">
      <c r="A11" s="2"/>
      <c r="B11" s="18" t="s">
        <v>21</v>
      </c>
      <c r="C11" s="13" t="n">
        <v>4820</v>
      </c>
      <c r="D11" s="14" t="s">
        <v>22</v>
      </c>
      <c r="E11" s="15" t="n">
        <v>2</v>
      </c>
      <c r="F11" s="16" t="s">
        <v>23</v>
      </c>
      <c r="G11" s="13" t="n">
        <v>9800</v>
      </c>
      <c r="H11" s="16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21.75" hidden="false" customHeight="true" outlineLevel="0" collapsed="false">
      <c r="A12" s="2"/>
      <c r="B12" s="19" t="s">
        <v>25</v>
      </c>
      <c r="C12" s="8" t="n">
        <v>2218</v>
      </c>
      <c r="D12" s="9" t="s">
        <v>26</v>
      </c>
      <c r="E12" s="10" t="n">
        <v>1.8</v>
      </c>
      <c r="F12" s="11" t="s">
        <v>27</v>
      </c>
      <c r="G12" s="8" t="n">
        <v>2200</v>
      </c>
      <c r="H12" s="11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21.75" hidden="false" customHeight="true" outlineLevel="0" collapsed="false">
      <c r="A13" s="2"/>
      <c r="B13" s="20" t="s">
        <v>29</v>
      </c>
      <c r="C13" s="21" t="n">
        <f aca="false">SUM(C8:C12)</f>
        <v>20110</v>
      </c>
      <c r="D13" s="22" t="s">
        <v>30</v>
      </c>
      <c r="E13" s="23" t="n">
        <f aca="false">AVERAGE(E8:E12)</f>
        <v>2.66</v>
      </c>
      <c r="F13" s="22" t="s">
        <v>30</v>
      </c>
      <c r="G13" s="21" t="n">
        <f aca="false">SUM(G8:G12)</f>
        <v>33600</v>
      </c>
      <c r="H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8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21.75" hidden="false" customHeight="true" outlineLevel="0" collapsed="false">
      <c r="A15" s="2"/>
      <c r="B15" s="5" t="s">
        <v>31</v>
      </c>
      <c r="C15" s="5"/>
      <c r="D15" s="5"/>
      <c r="E15" s="5"/>
      <c r="F15" s="5"/>
      <c r="G15" s="5"/>
      <c r="H15" s="5"/>
      <c r="I15" s="2"/>
      <c r="J15" s="5" t="s">
        <v>32</v>
      </c>
      <c r="K15" s="5"/>
      <c r="L15" s="5"/>
      <c r="M15" s="5"/>
      <c r="N15" s="5"/>
      <c r="O15" s="5"/>
      <c r="P15" s="5"/>
      <c r="Q15" s="2"/>
      <c r="R15" s="2"/>
      <c r="S15" s="2"/>
      <c r="T15" s="2"/>
      <c r="U15" s="2"/>
      <c r="V15" s="2"/>
      <c r="W15" s="2"/>
      <c r="X15" s="2"/>
    </row>
    <row r="16" customFormat="false" ht="21.75" hidden="false" customHeight="true" outlineLevel="0" collapsed="false">
      <c r="A16" s="2"/>
      <c r="B16" s="24" t="s">
        <v>33</v>
      </c>
      <c r="C16" s="25" t="s">
        <v>34</v>
      </c>
      <c r="D16" s="25"/>
      <c r="E16" s="25"/>
      <c r="F16" s="25"/>
      <c r="G16" s="25"/>
      <c r="H16" s="25"/>
      <c r="I16" s="2"/>
      <c r="J16" s="24" t="s">
        <v>35</v>
      </c>
      <c r="K16" s="26" t="s">
        <v>36</v>
      </c>
      <c r="L16" s="26"/>
      <c r="M16" s="26"/>
      <c r="N16" s="26"/>
      <c r="O16" s="27" t="s">
        <v>37</v>
      </c>
      <c r="P16" s="27"/>
      <c r="Q16" s="2"/>
      <c r="R16" s="2"/>
      <c r="S16" s="2"/>
      <c r="T16" s="2"/>
      <c r="U16" s="2"/>
      <c r="V16" s="2"/>
      <c r="W16" s="2"/>
      <c r="X16" s="2"/>
    </row>
    <row r="17" customFormat="false" ht="21.75" hidden="false" customHeight="true" outlineLevel="0" collapsed="false">
      <c r="A17" s="2"/>
      <c r="B17" s="24" t="s">
        <v>33</v>
      </c>
      <c r="C17" s="28" t="s">
        <v>38</v>
      </c>
      <c r="D17" s="28"/>
      <c r="E17" s="28"/>
      <c r="F17" s="28"/>
      <c r="G17" s="28"/>
      <c r="H17" s="28"/>
      <c r="I17" s="2"/>
      <c r="J17" s="29" t="s">
        <v>39</v>
      </c>
      <c r="K17" s="30" t="s">
        <v>40</v>
      </c>
      <c r="L17" s="30"/>
      <c r="M17" s="30"/>
      <c r="N17" s="30"/>
      <c r="O17" s="31" t="s">
        <v>41</v>
      </c>
      <c r="P17" s="31"/>
      <c r="Q17" s="2"/>
      <c r="R17" s="2"/>
      <c r="S17" s="2"/>
      <c r="T17" s="2"/>
      <c r="U17" s="2"/>
      <c r="V17" s="2"/>
      <c r="W17" s="2"/>
      <c r="X17" s="2"/>
    </row>
    <row r="18" customFormat="false" ht="21.75" hidden="false" customHeight="true" outlineLevel="0" collapsed="false">
      <c r="A18" s="2"/>
      <c r="B18" s="29" t="s">
        <v>42</v>
      </c>
      <c r="C18" s="25" t="s">
        <v>43</v>
      </c>
      <c r="D18" s="25"/>
      <c r="E18" s="25"/>
      <c r="F18" s="25"/>
      <c r="G18" s="25"/>
      <c r="H18" s="25"/>
      <c r="I18" s="2"/>
      <c r="J18" s="32" t="s">
        <v>44</v>
      </c>
      <c r="K18" s="26" t="s">
        <v>45</v>
      </c>
      <c r="L18" s="26"/>
      <c r="M18" s="26"/>
      <c r="N18" s="26"/>
      <c r="O18" s="33" t="s">
        <v>46</v>
      </c>
      <c r="P18" s="33"/>
      <c r="Q18" s="2"/>
      <c r="R18" s="2"/>
      <c r="S18" s="2"/>
      <c r="T18" s="2"/>
      <c r="U18" s="2"/>
      <c r="V18" s="2"/>
      <c r="W18" s="2"/>
      <c r="X18" s="2"/>
    </row>
    <row r="19" customFormat="false" ht="21.75" hidden="false" customHeight="true" outlineLevel="0" collapsed="false">
      <c r="A19" s="2"/>
      <c r="B19" s="34" t="s">
        <v>47</v>
      </c>
      <c r="C19" s="28" t="s">
        <v>48</v>
      </c>
      <c r="D19" s="28"/>
      <c r="E19" s="28"/>
      <c r="F19" s="28"/>
      <c r="G19" s="28"/>
      <c r="H19" s="28"/>
      <c r="I19" s="2"/>
      <c r="J19" s="35" t="s">
        <v>49</v>
      </c>
      <c r="K19" s="30" t="s">
        <v>50</v>
      </c>
      <c r="L19" s="30"/>
      <c r="M19" s="30"/>
      <c r="N19" s="30"/>
      <c r="O19" s="36" t="s">
        <v>46</v>
      </c>
      <c r="P19" s="36"/>
      <c r="Q19" s="2"/>
      <c r="R19" s="2"/>
      <c r="S19" s="2"/>
      <c r="T19" s="2"/>
      <c r="U19" s="2"/>
      <c r="V19" s="2"/>
      <c r="W19" s="2"/>
      <c r="X19" s="2"/>
    </row>
    <row r="20" customFormat="false" ht="21.75" hidden="false" customHeight="true" outlineLevel="0" collapsed="false">
      <c r="A20" s="2"/>
      <c r="B20" s="34" t="s">
        <v>47</v>
      </c>
      <c r="C20" s="25" t="s">
        <v>51</v>
      </c>
      <c r="D20" s="25"/>
      <c r="E20" s="25"/>
      <c r="F20" s="25"/>
      <c r="G20" s="25"/>
      <c r="H20" s="25"/>
      <c r="I20" s="2"/>
      <c r="J20" s="34" t="s">
        <v>52</v>
      </c>
      <c r="K20" s="26" t="s">
        <v>53</v>
      </c>
      <c r="L20" s="26"/>
      <c r="M20" s="26"/>
      <c r="N20" s="26"/>
      <c r="O20" s="37" t="s">
        <v>54</v>
      </c>
      <c r="P20" s="37"/>
      <c r="Q20" s="2"/>
      <c r="R20" s="2"/>
      <c r="S20" s="2"/>
      <c r="T20" s="2"/>
      <c r="U20" s="2"/>
      <c r="V20" s="2"/>
      <c r="W20" s="2"/>
      <c r="X20" s="2"/>
    </row>
    <row r="21" customFormat="false" ht="21.75" hidden="false" customHeight="true" outlineLevel="0" collapsed="false">
      <c r="A21" s="2"/>
      <c r="B21" s="32" t="s">
        <v>55</v>
      </c>
      <c r="C21" s="28" t="s">
        <v>56</v>
      </c>
      <c r="D21" s="28"/>
      <c r="E21" s="28"/>
      <c r="F21" s="28"/>
      <c r="G21" s="28"/>
      <c r="H21" s="28"/>
      <c r="I21" s="2"/>
      <c r="J21" s="38" t="s">
        <v>57</v>
      </c>
      <c r="K21" s="30" t="s">
        <v>58</v>
      </c>
      <c r="L21" s="30"/>
      <c r="M21" s="30"/>
      <c r="N21" s="30"/>
      <c r="O21" s="39"/>
      <c r="P21" s="39"/>
      <c r="Q21" s="2"/>
      <c r="R21" s="2"/>
      <c r="S21" s="2"/>
      <c r="T21" s="2"/>
      <c r="U21" s="2"/>
      <c r="V21" s="2"/>
      <c r="W21" s="2"/>
      <c r="X21" s="2"/>
    </row>
    <row r="22" customFormat="false" ht="21.75" hidden="false" customHeight="true" outlineLevel="0" collapsed="false">
      <c r="A22" s="2"/>
      <c r="B22" s="32" t="s">
        <v>55</v>
      </c>
      <c r="C22" s="25" t="s">
        <v>59</v>
      </c>
      <c r="D22" s="25"/>
      <c r="E22" s="25"/>
      <c r="F22" s="25"/>
      <c r="G22" s="25"/>
      <c r="H22" s="2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8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21.75" hidden="false" customHeight="true" outlineLevel="0" collapsed="false">
      <c r="A24" s="2"/>
      <c r="B24" s="5" t="s">
        <v>60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2"/>
      <c r="R24" s="2"/>
      <c r="S24" s="2"/>
      <c r="T24" s="2"/>
      <c r="U24" s="2"/>
      <c r="V24" s="2"/>
      <c r="W24" s="2"/>
      <c r="X24" s="2"/>
    </row>
    <row r="25" customFormat="false" ht="19.5" hidden="false" customHeight="true" outlineLevel="0" collapsed="false">
      <c r="A25" s="2"/>
      <c r="B25" s="40" t="s">
        <v>3</v>
      </c>
      <c r="C25" s="40" t="s">
        <v>61</v>
      </c>
      <c r="D25" s="40" t="s">
        <v>62</v>
      </c>
      <c r="E25" s="40" t="s">
        <v>63</v>
      </c>
      <c r="F25" s="40" t="s">
        <v>64</v>
      </c>
      <c r="G25" s="40" t="s">
        <v>65</v>
      </c>
      <c r="H25" s="40" t="s">
        <v>66</v>
      </c>
      <c r="I25" s="40" t="s">
        <v>67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9.5" hidden="false" customHeight="true" outlineLevel="0" collapsed="false">
      <c r="A26" s="2"/>
      <c r="B26" s="35" t="s">
        <v>10</v>
      </c>
      <c r="C26" s="41" t="n">
        <v>7940</v>
      </c>
      <c r="D26" s="41" t="n">
        <v>8100</v>
      </c>
      <c r="E26" s="41" t="n">
        <v>8230</v>
      </c>
      <c r="F26" s="41" t="n">
        <v>8380</v>
      </c>
      <c r="G26" s="41" t="n">
        <v>8520</v>
      </c>
      <c r="H26" s="41" t="n">
        <v>8664</v>
      </c>
      <c r="I26" s="42" t="s">
        <v>68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9.5" hidden="false" customHeight="true" outlineLevel="0" collapsed="false">
      <c r="A27" s="2"/>
      <c r="B27" s="43" t="s">
        <v>14</v>
      </c>
      <c r="C27" s="44" t="n">
        <v>2930</v>
      </c>
      <c r="D27" s="44" t="n">
        <v>2972</v>
      </c>
      <c r="E27" s="44" t="n">
        <v>3010</v>
      </c>
      <c r="F27" s="44" t="n">
        <v>3048</v>
      </c>
      <c r="G27" s="44" t="n">
        <v>3087</v>
      </c>
      <c r="H27" s="44" t="n">
        <v>3124</v>
      </c>
      <c r="I27" s="45" t="s">
        <v>69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9.5" hidden="false" customHeight="true" outlineLevel="0" collapsed="false">
      <c r="A28" s="2"/>
      <c r="B28" s="46" t="s">
        <v>70</v>
      </c>
      <c r="C28" s="41" t="n">
        <v>1218</v>
      </c>
      <c r="D28" s="41" t="n">
        <v>1232</v>
      </c>
      <c r="E28" s="41" t="n">
        <v>1248</v>
      </c>
      <c r="F28" s="41" t="n">
        <v>1260</v>
      </c>
      <c r="G28" s="41" t="n">
        <v>1272</v>
      </c>
      <c r="H28" s="41" t="n">
        <v>1284</v>
      </c>
      <c r="I28" s="42" t="s">
        <v>71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9.5" hidden="false" customHeight="true" outlineLevel="0" collapsed="false">
      <c r="A29" s="2"/>
      <c r="B29" s="47" t="s">
        <v>21</v>
      </c>
      <c r="C29" s="44" t="n">
        <v>4340</v>
      </c>
      <c r="D29" s="44" t="n">
        <v>4420</v>
      </c>
      <c r="E29" s="44" t="n">
        <v>4510</v>
      </c>
      <c r="F29" s="44" t="n">
        <v>4600</v>
      </c>
      <c r="G29" s="44" t="n">
        <v>4710</v>
      </c>
      <c r="H29" s="44" t="n">
        <v>4820</v>
      </c>
      <c r="I29" s="45" t="s">
        <v>72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9.5" hidden="false" customHeight="true" outlineLevel="0" collapsed="false">
      <c r="A30" s="2"/>
      <c r="B30" s="48" t="s">
        <v>25</v>
      </c>
      <c r="C30" s="41" t="n">
        <v>2188</v>
      </c>
      <c r="D30" s="41" t="n">
        <v>2194</v>
      </c>
      <c r="E30" s="41" t="n">
        <v>2200</v>
      </c>
      <c r="F30" s="41" t="n">
        <v>2205</v>
      </c>
      <c r="G30" s="41" t="n">
        <v>2211</v>
      </c>
      <c r="H30" s="41" t="n">
        <v>2218</v>
      </c>
      <c r="I30" s="42" t="s">
        <v>73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8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8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21.75" hidden="false" customHeight="true" outlineLevel="0" collapsed="false">
      <c r="A33" s="2"/>
      <c r="B33" s="5" t="s">
        <v>74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2"/>
      <c r="R33" s="2"/>
      <c r="S33" s="2"/>
      <c r="T33" s="2"/>
      <c r="U33" s="2"/>
      <c r="V33" s="2"/>
      <c r="W33" s="2"/>
      <c r="X33" s="2"/>
    </row>
    <row r="34" customFormat="false" ht="19.5" hidden="false" customHeight="true" outlineLevel="0" collapsed="false">
      <c r="A34" s="2"/>
      <c r="B34" s="40" t="s">
        <v>75</v>
      </c>
      <c r="C34" s="40" t="s">
        <v>3</v>
      </c>
      <c r="D34" s="40" t="s">
        <v>76</v>
      </c>
      <c r="E34" s="40" t="s">
        <v>77</v>
      </c>
      <c r="F34" s="40" t="s">
        <v>78</v>
      </c>
      <c r="G34" s="40" t="s">
        <v>79</v>
      </c>
      <c r="H34" s="40" t="s">
        <v>80</v>
      </c>
      <c r="I34" s="40" t="s">
        <v>81</v>
      </c>
      <c r="J34" s="40" t="s">
        <v>82</v>
      </c>
      <c r="K34" s="40" t="s">
        <v>83</v>
      </c>
      <c r="L34" s="40" t="s">
        <v>84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9.5" hidden="false" customHeight="true" outlineLevel="0" collapsed="false">
      <c r="A35" s="2"/>
      <c r="B35" s="24" t="n">
        <v>1</v>
      </c>
      <c r="C35" s="35" t="s">
        <v>10</v>
      </c>
      <c r="D35" s="49" t="s">
        <v>85</v>
      </c>
      <c r="E35" s="50" t="s">
        <v>86</v>
      </c>
      <c r="F35" s="49" t="s">
        <v>87</v>
      </c>
      <c r="G35" s="41" t="n">
        <v>24800</v>
      </c>
      <c r="H35" s="41" t="n">
        <v>890</v>
      </c>
      <c r="I35" s="41" t="n">
        <v>142</v>
      </c>
      <c r="J35" s="41" t="n">
        <v>210</v>
      </c>
      <c r="K35" s="51" t="s">
        <v>88</v>
      </c>
      <c r="L35" s="49" t="s">
        <v>89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9.5" hidden="false" customHeight="true" outlineLevel="0" collapsed="false">
      <c r="A36" s="2"/>
      <c r="B36" s="24" t="n">
        <v>2</v>
      </c>
      <c r="C36" s="35" t="s">
        <v>10</v>
      </c>
      <c r="D36" s="52" t="s">
        <v>90</v>
      </c>
      <c r="E36" s="53" t="s">
        <v>91</v>
      </c>
      <c r="F36" s="52" t="s">
        <v>87</v>
      </c>
      <c r="G36" s="44" t="n">
        <v>21400</v>
      </c>
      <c r="H36" s="44" t="n">
        <v>745</v>
      </c>
      <c r="I36" s="44" t="n">
        <v>118</v>
      </c>
      <c r="J36" s="44" t="n">
        <v>198</v>
      </c>
      <c r="K36" s="54" t="s">
        <v>92</v>
      </c>
      <c r="L36" s="52" t="s">
        <v>93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9.5" hidden="false" customHeight="true" outlineLevel="0" collapsed="false">
      <c r="A37" s="2"/>
      <c r="B37" s="24" t="n">
        <v>3</v>
      </c>
      <c r="C37" s="47" t="s">
        <v>21</v>
      </c>
      <c r="D37" s="49" t="s">
        <v>94</v>
      </c>
      <c r="E37" s="50" t="s">
        <v>95</v>
      </c>
      <c r="F37" s="49" t="s">
        <v>96</v>
      </c>
      <c r="G37" s="41" t="n">
        <v>19600</v>
      </c>
      <c r="H37" s="41" t="n">
        <v>1240</v>
      </c>
      <c r="I37" s="41" t="n">
        <v>89</v>
      </c>
      <c r="J37" s="41" t="n">
        <v>44</v>
      </c>
      <c r="K37" s="51" t="s">
        <v>97</v>
      </c>
      <c r="L37" s="49" t="s">
        <v>98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9.5" hidden="false" customHeight="true" outlineLevel="0" collapsed="false">
      <c r="A38" s="2"/>
      <c r="B38" s="24" t="n">
        <v>4</v>
      </c>
      <c r="C38" s="35" t="s">
        <v>10</v>
      </c>
      <c r="D38" s="52" t="s">
        <v>99</v>
      </c>
      <c r="E38" s="53" t="s">
        <v>100</v>
      </c>
      <c r="F38" s="52" t="s">
        <v>87</v>
      </c>
      <c r="G38" s="44" t="n">
        <v>18200</v>
      </c>
      <c r="H38" s="44" t="n">
        <v>680</v>
      </c>
      <c r="I38" s="44" t="n">
        <v>105</v>
      </c>
      <c r="J38" s="44" t="n">
        <v>175</v>
      </c>
      <c r="K38" s="55" t="s">
        <v>101</v>
      </c>
      <c r="L38" s="52" t="s">
        <v>102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9.5" hidden="false" customHeight="true" outlineLevel="0" collapsed="false">
      <c r="A39" s="2"/>
      <c r="B39" s="24" t="n">
        <v>5</v>
      </c>
      <c r="C39" s="43" t="s">
        <v>14</v>
      </c>
      <c r="D39" s="49" t="s">
        <v>103</v>
      </c>
      <c r="E39" s="50" t="s">
        <v>104</v>
      </c>
      <c r="F39" s="49" t="s">
        <v>105</v>
      </c>
      <c r="G39" s="41" t="n">
        <v>11400</v>
      </c>
      <c r="H39" s="41" t="n">
        <v>720</v>
      </c>
      <c r="I39" s="41" t="n">
        <v>88</v>
      </c>
      <c r="J39" s="41" t="n">
        <v>32</v>
      </c>
      <c r="K39" s="51" t="s">
        <v>106</v>
      </c>
      <c r="L39" s="49" t="s">
        <v>107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9.5" hidden="false" customHeight="true" outlineLevel="0" collapsed="false">
      <c r="A40" s="2"/>
      <c r="B40" s="24" t="n">
        <v>6</v>
      </c>
      <c r="C40" s="35" t="s">
        <v>10</v>
      </c>
      <c r="D40" s="52" t="s">
        <v>108</v>
      </c>
      <c r="E40" s="53" t="s">
        <v>109</v>
      </c>
      <c r="F40" s="52" t="s">
        <v>110</v>
      </c>
      <c r="G40" s="44" t="n">
        <v>17300</v>
      </c>
      <c r="H40" s="44" t="n">
        <v>810</v>
      </c>
      <c r="I40" s="44" t="n">
        <v>130</v>
      </c>
      <c r="J40" s="44" t="n">
        <v>205</v>
      </c>
      <c r="K40" s="55" t="s">
        <v>111</v>
      </c>
      <c r="L40" s="52" t="s">
        <v>112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9.5" hidden="false" customHeight="true" outlineLevel="0" collapsed="false">
      <c r="A41" s="2"/>
      <c r="B41" s="24" t="n">
        <v>7</v>
      </c>
      <c r="C41" s="47" t="s">
        <v>21</v>
      </c>
      <c r="D41" s="49" t="s">
        <v>113</v>
      </c>
      <c r="E41" s="50" t="s">
        <v>114</v>
      </c>
      <c r="F41" s="49" t="s">
        <v>96</v>
      </c>
      <c r="G41" s="41" t="n">
        <v>14200</v>
      </c>
      <c r="H41" s="41" t="n">
        <v>1020</v>
      </c>
      <c r="I41" s="41" t="n">
        <v>67</v>
      </c>
      <c r="J41" s="41" t="n">
        <v>38</v>
      </c>
      <c r="K41" s="51" t="s">
        <v>115</v>
      </c>
      <c r="L41" s="49" t="s">
        <v>116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9.5" hidden="false" customHeight="true" outlineLevel="0" collapsed="false">
      <c r="A42" s="2"/>
      <c r="B42" s="24" t="n">
        <v>8</v>
      </c>
      <c r="C42" s="35" t="s">
        <v>10</v>
      </c>
      <c r="D42" s="52" t="s">
        <v>117</v>
      </c>
      <c r="E42" s="53" t="s">
        <v>118</v>
      </c>
      <c r="F42" s="52" t="s">
        <v>87</v>
      </c>
      <c r="G42" s="44" t="n">
        <v>12400</v>
      </c>
      <c r="H42" s="44" t="n">
        <v>560</v>
      </c>
      <c r="I42" s="44" t="n">
        <v>94</v>
      </c>
      <c r="J42" s="44" t="n">
        <v>158</v>
      </c>
      <c r="K42" s="55" t="s">
        <v>119</v>
      </c>
      <c r="L42" s="52" t="s">
        <v>120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9.5" hidden="false" customHeight="true" outlineLevel="0" collapsed="false">
      <c r="A43" s="2"/>
      <c r="B43" s="24" t="n">
        <v>9</v>
      </c>
      <c r="C43" s="43" t="s">
        <v>14</v>
      </c>
      <c r="D43" s="49" t="s">
        <v>121</v>
      </c>
      <c r="E43" s="50" t="s">
        <v>122</v>
      </c>
      <c r="F43" s="49" t="s">
        <v>123</v>
      </c>
      <c r="G43" s="41" t="n">
        <v>7800</v>
      </c>
      <c r="H43" s="41" t="n">
        <v>310</v>
      </c>
      <c r="I43" s="41" t="n">
        <v>52</v>
      </c>
      <c r="J43" s="41" t="n">
        <v>24</v>
      </c>
      <c r="K43" s="56" t="s">
        <v>92</v>
      </c>
      <c r="L43" s="49" t="s">
        <v>124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9.5" hidden="false" customHeight="true" outlineLevel="0" collapsed="false">
      <c r="A44" s="2"/>
      <c r="B44" s="24" t="n">
        <v>10</v>
      </c>
      <c r="C44" s="46" t="s">
        <v>70</v>
      </c>
      <c r="D44" s="52" t="s">
        <v>85</v>
      </c>
      <c r="E44" s="53" t="s">
        <v>125</v>
      </c>
      <c r="F44" s="52" t="s">
        <v>87</v>
      </c>
      <c r="G44" s="44" t="n">
        <v>4200</v>
      </c>
      <c r="H44" s="44" t="n">
        <v>185</v>
      </c>
      <c r="I44" s="44" t="n">
        <v>28</v>
      </c>
      <c r="J44" s="44" t="n">
        <v>62</v>
      </c>
      <c r="K44" s="55" t="s">
        <v>119</v>
      </c>
      <c r="L44" s="52" t="s">
        <v>126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8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8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8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8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8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8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8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8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8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8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8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8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8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8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8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8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8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8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8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8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8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8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8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8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8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8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8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8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8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8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8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8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8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8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8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</sheetData>
  <mergeCells count="26">
    <mergeCell ref="B2:P2"/>
    <mergeCell ref="B4:P4"/>
    <mergeCell ref="B6:P6"/>
    <mergeCell ref="B15:H15"/>
    <mergeCell ref="J15:P15"/>
    <mergeCell ref="C16:H16"/>
    <mergeCell ref="K16:N16"/>
    <mergeCell ref="O16:P16"/>
    <mergeCell ref="C17:H17"/>
    <mergeCell ref="K17:N17"/>
    <mergeCell ref="O17:P17"/>
    <mergeCell ref="C18:H18"/>
    <mergeCell ref="K18:N18"/>
    <mergeCell ref="O18:P18"/>
    <mergeCell ref="C19:H19"/>
    <mergeCell ref="K19:N19"/>
    <mergeCell ref="O19:P19"/>
    <mergeCell ref="C20:H20"/>
    <mergeCell ref="K20:N20"/>
    <mergeCell ref="O20:P20"/>
    <mergeCell ref="C21:H21"/>
    <mergeCell ref="K21:N21"/>
    <mergeCell ref="O21:P21"/>
    <mergeCell ref="C22:H22"/>
    <mergeCell ref="B24:P24"/>
    <mergeCell ref="B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CB6E"/>
    <pageSetUpPr fitToPage="false"/>
  </sheetPr>
  <dimension ref="A1:S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20"/>
    <col collapsed="false" customWidth="true" hidden="false" outlineLevel="0" max="6" min="6" style="0" width="2"/>
  </cols>
  <sheetData>
    <row r="1" customFormat="false" ht="34.5" hidden="false" customHeight="true" outlineLevel="0" collapsed="false">
      <c r="A1" s="57"/>
      <c r="B1" s="58" t="s">
        <v>127</v>
      </c>
      <c r="C1" s="58"/>
      <c r="D1" s="58"/>
      <c r="E1" s="58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customFormat="false" ht="18" hidden="false" customHeight="true" outlineLevel="0" collapsed="false">
      <c r="A2" s="57"/>
      <c r="B2" s="59" t="s">
        <v>128</v>
      </c>
      <c r="C2" s="59"/>
      <c r="D2" s="59"/>
      <c r="E2" s="59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</row>
    <row r="3" customFormat="false" ht="15" hidden="false" customHeight="fals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customFormat="false" ht="21.75" hidden="false" customHeight="true" outlineLevel="0" collapsed="false">
      <c r="A4" s="57"/>
      <c r="B4" s="60" t="s">
        <v>129</v>
      </c>
      <c r="C4" s="60"/>
      <c r="D4" s="60"/>
      <c r="E4" s="60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customFormat="false" ht="19.5" hidden="false" customHeight="true" outlineLevel="0" collapsed="false">
      <c r="A5" s="57"/>
      <c r="B5" s="40" t="s">
        <v>3</v>
      </c>
      <c r="C5" s="40" t="s">
        <v>130</v>
      </c>
      <c r="D5" s="40" t="s">
        <v>131</v>
      </c>
      <c r="E5" s="40" t="s">
        <v>132</v>
      </c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customFormat="false" ht="18" hidden="false" customHeight="true" outlineLevel="0" collapsed="false">
      <c r="A6" s="57"/>
      <c r="B6" s="35" t="s">
        <v>133</v>
      </c>
      <c r="C6" s="42" t="s">
        <v>134</v>
      </c>
      <c r="D6" s="61" t="s">
        <v>135</v>
      </c>
      <c r="E6" s="62" t="s">
        <v>136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customFormat="false" ht="18" hidden="false" customHeight="true" outlineLevel="0" collapsed="false">
      <c r="A7" s="57"/>
      <c r="B7" s="43" t="s">
        <v>137</v>
      </c>
      <c r="C7" s="45" t="s">
        <v>134</v>
      </c>
      <c r="D7" s="63" t="s">
        <v>135</v>
      </c>
      <c r="E7" s="64" t="s">
        <v>138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customFormat="false" ht="18" hidden="false" customHeight="true" outlineLevel="0" collapsed="false">
      <c r="A8" s="57"/>
      <c r="B8" s="47" t="s">
        <v>139</v>
      </c>
      <c r="C8" s="42" t="s">
        <v>134</v>
      </c>
      <c r="D8" s="61" t="s">
        <v>135</v>
      </c>
      <c r="E8" s="62" t="s">
        <v>140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8" hidden="false" customHeight="true" outlineLevel="0" collapsed="false">
      <c r="A9" s="57"/>
      <c r="B9" s="46" t="s">
        <v>141</v>
      </c>
      <c r="C9" s="65" t="s">
        <v>142</v>
      </c>
      <c r="D9" s="63" t="s">
        <v>135</v>
      </c>
      <c r="E9" s="64" t="s">
        <v>143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</row>
    <row r="10" customFormat="false" ht="18" hidden="false" customHeight="true" outlineLevel="0" collapsed="false">
      <c r="A10" s="57"/>
      <c r="B10" s="48" t="s">
        <v>144</v>
      </c>
      <c r="C10" s="66" t="s">
        <v>142</v>
      </c>
      <c r="D10" s="61" t="s">
        <v>135</v>
      </c>
      <c r="E10" s="62" t="s">
        <v>143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</row>
    <row r="11" customFormat="false" ht="15" hidden="false" customHeight="false" outlineLevel="0" collapsed="false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</row>
    <row r="12" customFormat="false" ht="21.75" hidden="false" customHeight="true" outlineLevel="0" collapsed="false">
      <c r="A12" s="57"/>
      <c r="B12" s="67" t="s">
        <v>145</v>
      </c>
      <c r="C12" s="67"/>
      <c r="D12" s="67"/>
      <c r="E12" s="6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</row>
    <row r="13" customFormat="false" ht="27.75" hidden="false" customHeight="true" outlineLevel="0" collapsed="false">
      <c r="A13" s="57"/>
      <c r="B13" s="68" t="s">
        <v>146</v>
      </c>
      <c r="C13" s="68"/>
      <c r="D13" s="68"/>
      <c r="E13" s="68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</row>
    <row r="14" customFormat="false" ht="27.75" hidden="false" customHeight="true" outlineLevel="0" collapsed="false">
      <c r="A14" s="57"/>
      <c r="B14" s="68" t="s">
        <v>147</v>
      </c>
      <c r="C14" s="68"/>
      <c r="D14" s="68"/>
      <c r="E14" s="68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</row>
    <row r="15" customFormat="false" ht="15" hidden="false" customHeight="false" outlineLevel="0" collapsed="false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</row>
    <row r="16" customFormat="false" ht="21.75" hidden="false" customHeight="true" outlineLevel="0" collapsed="false">
      <c r="A16" s="57"/>
      <c r="B16" s="60" t="s">
        <v>148</v>
      </c>
      <c r="C16" s="60"/>
      <c r="D16" s="60"/>
      <c r="E16" s="60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customFormat="false" ht="19.5" hidden="false" customHeight="true" outlineLevel="0" collapsed="false">
      <c r="A17" s="57"/>
      <c r="B17" s="69" t="s">
        <v>149</v>
      </c>
      <c r="C17" s="69"/>
      <c r="D17" s="69"/>
      <c r="E17" s="69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</row>
    <row r="18" customFormat="false" ht="18" hidden="false" customHeight="true" outlineLevel="0" collapsed="false">
      <c r="A18" s="57"/>
      <c r="B18" s="70" t="s">
        <v>150</v>
      </c>
      <c r="C18" s="70"/>
      <c r="D18" s="70"/>
      <c r="E18" s="70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</row>
    <row r="19" customFormat="false" ht="18" hidden="false" customHeight="true" outlineLevel="0" collapsed="false">
      <c r="A19" s="57"/>
      <c r="B19" s="71" t="s">
        <v>151</v>
      </c>
      <c r="C19" s="71"/>
      <c r="D19" s="71"/>
      <c r="E19" s="71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</row>
    <row r="20" customFormat="false" ht="18" hidden="false" customHeight="true" outlineLevel="0" collapsed="false">
      <c r="A20" s="57"/>
      <c r="B20" s="70" t="s">
        <v>152</v>
      </c>
      <c r="C20" s="70"/>
      <c r="D20" s="70"/>
      <c r="E20" s="70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</row>
    <row r="21" customFormat="false" ht="15" hidden="false" customHeight="false" outlineLevel="0" collapsed="false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customFormat="false" ht="19.5" hidden="false" customHeight="true" outlineLevel="0" collapsed="false">
      <c r="A22" s="57"/>
      <c r="B22" s="72" t="s">
        <v>153</v>
      </c>
      <c r="C22" s="72"/>
      <c r="D22" s="72"/>
      <c r="E22" s="72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</row>
    <row r="23" customFormat="false" ht="18" hidden="false" customHeight="true" outlineLevel="0" collapsed="false">
      <c r="A23" s="57"/>
      <c r="B23" s="71" t="s">
        <v>154</v>
      </c>
      <c r="C23" s="71"/>
      <c r="D23" s="71"/>
      <c r="E23" s="71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</row>
    <row r="24" customFormat="false" ht="18" hidden="false" customHeight="true" outlineLevel="0" collapsed="false">
      <c r="A24" s="57"/>
      <c r="B24" s="70" t="s">
        <v>155</v>
      </c>
      <c r="C24" s="70"/>
      <c r="D24" s="70"/>
      <c r="E24" s="70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</row>
    <row r="25" customFormat="false" ht="18" hidden="false" customHeight="true" outlineLevel="0" collapsed="false">
      <c r="A25" s="57"/>
      <c r="B25" s="71" t="s">
        <v>156</v>
      </c>
      <c r="C25" s="71"/>
      <c r="D25" s="71"/>
      <c r="E25" s="71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</row>
    <row r="26" customFormat="false" ht="15" hidden="false" customHeight="false" outlineLevel="0" collapsed="false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</row>
    <row r="27" customFormat="false" ht="19.5" hidden="false" customHeight="true" outlineLevel="0" collapsed="false">
      <c r="A27" s="57"/>
      <c r="B27" s="73" t="s">
        <v>157</v>
      </c>
      <c r="C27" s="73"/>
      <c r="D27" s="73"/>
      <c r="E27" s="73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</row>
    <row r="28" customFormat="false" ht="18" hidden="false" customHeight="true" outlineLevel="0" collapsed="false">
      <c r="A28" s="57"/>
      <c r="B28" s="70" t="s">
        <v>158</v>
      </c>
      <c r="C28" s="70"/>
      <c r="D28" s="70"/>
      <c r="E28" s="70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</row>
    <row r="29" customFormat="false" ht="18" hidden="false" customHeight="true" outlineLevel="0" collapsed="false">
      <c r="A29" s="57"/>
      <c r="B29" s="71" t="s">
        <v>159</v>
      </c>
      <c r="C29" s="71"/>
      <c r="D29" s="71"/>
      <c r="E29" s="71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</row>
    <row r="30" customFormat="false" ht="18" hidden="false" customHeight="true" outlineLevel="0" collapsed="false">
      <c r="A30" s="57"/>
      <c r="B30" s="70" t="s">
        <v>160</v>
      </c>
      <c r="C30" s="70"/>
      <c r="D30" s="70"/>
      <c r="E30" s="70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</row>
    <row r="31" customFormat="false" ht="18" hidden="false" customHeight="true" outlineLevel="0" collapsed="false">
      <c r="A31" s="57"/>
      <c r="B31" s="71" t="s">
        <v>161</v>
      </c>
      <c r="C31" s="71"/>
      <c r="D31" s="71"/>
      <c r="E31" s="71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</row>
    <row r="32" customFormat="false" ht="15" hidden="false" customHeight="false" outlineLevel="0" collapsed="false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</row>
    <row r="33" customFormat="false" ht="19.5" hidden="false" customHeight="true" outlineLevel="0" collapsed="false">
      <c r="A33" s="57"/>
      <c r="B33" s="74" t="s">
        <v>162</v>
      </c>
      <c r="C33" s="74"/>
      <c r="D33" s="74"/>
      <c r="E33" s="74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</row>
    <row r="34" customFormat="false" ht="18" hidden="false" customHeight="true" outlineLevel="0" collapsed="false">
      <c r="A34" s="57"/>
      <c r="B34" s="70" t="s">
        <v>163</v>
      </c>
      <c r="C34" s="70"/>
      <c r="D34" s="70"/>
      <c r="E34" s="70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</row>
    <row r="35" customFormat="false" ht="18" hidden="false" customHeight="true" outlineLevel="0" collapsed="false">
      <c r="A35" s="57"/>
      <c r="B35" s="71" t="s">
        <v>164</v>
      </c>
      <c r="C35" s="71"/>
      <c r="D35" s="71"/>
      <c r="E35" s="71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</row>
    <row r="36" customFormat="false" ht="18" hidden="false" customHeight="true" outlineLevel="0" collapsed="false">
      <c r="A36" s="57"/>
      <c r="B36" s="70" t="s">
        <v>165</v>
      </c>
      <c r="C36" s="70"/>
      <c r="D36" s="70"/>
      <c r="E36" s="70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</row>
    <row r="37" customFormat="false" ht="18" hidden="false" customHeight="true" outlineLevel="0" collapsed="false">
      <c r="A37" s="57"/>
      <c r="B37" s="71" t="s">
        <v>166</v>
      </c>
      <c r="C37" s="71"/>
      <c r="D37" s="71"/>
      <c r="E37" s="71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</row>
    <row r="38" customFormat="false" ht="15" hidden="false" customHeight="false" outlineLevel="0" collapsed="false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</row>
    <row r="39" customFormat="false" ht="15" hidden="false" customHeight="false" outlineLevel="0" collapsed="false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</row>
    <row r="40" customFormat="false" ht="15" hidden="false" customHeight="false" outlineLevel="0" collapsed="false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</row>
    <row r="41" customFormat="false" ht="1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</row>
    <row r="42" customFormat="false" ht="1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</row>
    <row r="43" customFormat="false" ht="1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</row>
    <row r="44" customFormat="false" ht="1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</row>
    <row r="45" customFormat="false" ht="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customFormat="false" ht="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</row>
    <row r="47" customFormat="false" ht="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customFormat="false" ht="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</row>
    <row r="49" customFormat="false" ht="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</row>
    <row r="50" customFormat="false" ht="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</row>
    <row r="51" customFormat="false" ht="1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</row>
    <row r="52" customFormat="false" ht="1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</row>
    <row r="53" customFormat="false" ht="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</row>
    <row r="54" customFormat="false" ht="15" hidden="false" customHeight="false" outlineLevel="0" collapsed="false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</row>
    <row r="55" customFormat="false" ht="15" hidden="false" customHeight="false" outlineLevel="0" collapsed="false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</row>
    <row r="56" customFormat="false" ht="15" hidden="false" customHeight="false" outlineLevel="0" collapsed="false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</row>
    <row r="57" customFormat="false" ht="15" hidden="false" customHeight="false" outlineLevel="0" collapsed="false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</row>
    <row r="58" customFormat="false" ht="15" hidden="false" customHeight="false" outlineLevel="0" collapsed="false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</row>
    <row r="59" customFormat="false" ht="15" hidden="false" customHeight="false" outlineLevel="0" collapsed="false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</row>
    <row r="60" customFormat="false" ht="15" hidden="false" customHeight="false" outlineLevel="0" collapsed="false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</row>
    <row r="61" customFormat="false" ht="15" hidden="false" customHeight="false" outlineLevel="0" collapsed="false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</row>
    <row r="62" customFormat="false" ht="15" hidden="false" customHeight="false" outlineLevel="0" collapsed="false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</row>
    <row r="63" customFormat="false" ht="15" hidden="false" customHeight="false" outlineLevel="0" collapsed="false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</row>
    <row r="64" customFormat="false" ht="15" hidden="false" customHeight="false" outlineLevel="0" collapsed="false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</row>
    <row r="65" customFormat="false" ht="15" hidden="false" customHeight="false" outlineLevel="0" collapsed="false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</row>
    <row r="66" customFormat="false" ht="15" hidden="false" customHeight="false" outlineLevel="0" collapsed="false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</row>
    <row r="67" customFormat="false" ht="15" hidden="false" customHeight="false" outlineLevel="0" collapsed="false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</row>
    <row r="68" customFormat="false" ht="15" hidden="false" customHeight="false" outlineLevel="0" collapsed="false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</row>
    <row r="69" customFormat="false" ht="15" hidden="false" customHeight="false" outlineLevel="0" collapsed="false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</row>
    <row r="70" customFormat="false" ht="15" hidden="false" customHeight="false" outlineLevel="0" collapsed="false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</row>
    <row r="71" customFormat="false" ht="15" hidden="false" customHeight="false" outlineLevel="0" collapsed="false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</row>
    <row r="72" customFormat="false" ht="15" hidden="false" customHeight="false" outlineLevel="0" collapsed="false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</row>
    <row r="73" customFormat="false" ht="15" hidden="false" customHeight="false" outlineLevel="0" collapsed="false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</row>
    <row r="74" customFormat="false" ht="15" hidden="false" customHeight="false" outlineLevel="0" collapsed="false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</row>
    <row r="75" customFormat="false" ht="15" hidden="false" customHeight="false" outlineLevel="0" collapsed="false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</row>
    <row r="76" customFormat="false" ht="15" hidden="false" customHeight="false" outlineLevel="0" collapsed="false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</row>
    <row r="77" customFormat="false" ht="15" hidden="false" customHeight="false" outlineLevel="0" collapsed="false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</row>
    <row r="78" customFormat="false" ht="15" hidden="false" customHeight="false" outlineLevel="0" collapsed="false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</row>
    <row r="79" customFormat="false" ht="15" hidden="false" customHeight="false" outlineLevel="0" collapsed="false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</row>
  </sheetData>
  <mergeCells count="25">
    <mergeCell ref="B1:E1"/>
    <mergeCell ref="B2:E2"/>
    <mergeCell ref="B4:E4"/>
    <mergeCell ref="B12:E12"/>
    <mergeCell ref="B13:E13"/>
    <mergeCell ref="B14:E14"/>
    <mergeCell ref="B16:E16"/>
    <mergeCell ref="B17:E17"/>
    <mergeCell ref="B18:E18"/>
    <mergeCell ref="B19:E19"/>
    <mergeCell ref="B20:E20"/>
    <mergeCell ref="B22:E22"/>
    <mergeCell ref="B23:E23"/>
    <mergeCell ref="B24:E24"/>
    <mergeCell ref="B25:E25"/>
    <mergeCell ref="B27:E27"/>
    <mergeCell ref="B28:E28"/>
    <mergeCell ref="B29:E29"/>
    <mergeCell ref="B30:E30"/>
    <mergeCell ref="B31:E31"/>
    <mergeCell ref="B33:E33"/>
    <mergeCell ref="B34:E34"/>
    <mergeCell ref="B35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7B5"/>
    <pageSetUpPr fitToPage="false"/>
  </sheetPr>
  <dimension ref="A1:Q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11" min="8" style="0" width="12"/>
    <col collapsed="false" customWidth="true" hidden="false" outlineLevel="0" max="13" min="12" style="0" width="11"/>
    <col collapsed="false" customWidth="true" hidden="false" outlineLevel="0" max="14" min="14" style="0" width="20"/>
    <col collapsed="false" customWidth="true" hidden="false" outlineLevel="0" max="15" min="15" style="0" width="2"/>
  </cols>
  <sheetData>
    <row r="1" customFormat="false" ht="34.5" hidden="false" customHeight="true" outlineLevel="0" collapsed="false">
      <c r="A1" s="57"/>
      <c r="B1" s="58" t="s">
        <v>167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7"/>
      <c r="P1" s="57"/>
      <c r="Q1" s="57"/>
    </row>
    <row r="2" customFormat="false" ht="18" hidden="false" customHeight="true" outlineLevel="0" collapsed="false">
      <c r="A2" s="57"/>
      <c r="B2" s="75" t="s">
        <v>168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57"/>
      <c r="P2" s="57"/>
      <c r="Q2" s="57"/>
    </row>
    <row r="3" customFormat="false" ht="15" hidden="false" customHeight="fals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customFormat="false" ht="24" hidden="false" customHeight="true" outlineLevel="0" collapsed="false">
      <c r="A4" s="57"/>
      <c r="B4" s="76" t="s">
        <v>169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57"/>
      <c r="P4" s="57"/>
      <c r="Q4" s="57"/>
    </row>
    <row r="5" customFormat="false" ht="19.5" hidden="false" customHeight="true" outlineLevel="0" collapsed="false">
      <c r="A5" s="57"/>
      <c r="B5" s="40" t="s">
        <v>170</v>
      </c>
      <c r="C5" s="40" t="s">
        <v>4</v>
      </c>
      <c r="D5" s="40" t="s">
        <v>171</v>
      </c>
      <c r="E5" s="40" t="s">
        <v>172</v>
      </c>
      <c r="F5" s="40" t="s">
        <v>173</v>
      </c>
      <c r="G5" s="40" t="s">
        <v>79</v>
      </c>
      <c r="H5" s="40" t="s">
        <v>174</v>
      </c>
      <c r="I5" s="40" t="s">
        <v>175</v>
      </c>
      <c r="J5" s="40" t="s">
        <v>176</v>
      </c>
      <c r="K5" s="40" t="s">
        <v>81</v>
      </c>
      <c r="L5" s="40" t="s">
        <v>82</v>
      </c>
      <c r="M5" s="40" t="s">
        <v>177</v>
      </c>
      <c r="N5" s="40" t="s">
        <v>178</v>
      </c>
      <c r="O5" s="57"/>
      <c r="P5" s="57"/>
      <c r="Q5" s="57"/>
    </row>
    <row r="6" customFormat="false" ht="18" hidden="false" customHeight="true" outlineLevel="0" collapsed="false">
      <c r="A6" s="57"/>
      <c r="B6" s="77" t="s">
        <v>179</v>
      </c>
      <c r="C6" s="78" t="n">
        <v>3800</v>
      </c>
      <c r="D6" s="79"/>
      <c r="E6" s="80"/>
      <c r="F6" s="81" t="n">
        <v>12</v>
      </c>
      <c r="G6" s="78" t="n">
        <v>89703</v>
      </c>
      <c r="H6" s="78" t="n">
        <v>3571</v>
      </c>
      <c r="I6" s="82" t="n">
        <f aca="false">IFERROR(H6/G6,0)</f>
        <v>0.0398091479660658</v>
      </c>
      <c r="J6" s="78" t="n">
        <v>1822</v>
      </c>
      <c r="K6" s="78" t="n">
        <v>415</v>
      </c>
      <c r="L6" s="78" t="n">
        <v>726</v>
      </c>
      <c r="M6" s="78" t="n">
        <v>0</v>
      </c>
      <c r="N6" s="77" t="s">
        <v>180</v>
      </c>
      <c r="O6" s="57"/>
      <c r="P6" s="57"/>
      <c r="Q6" s="57"/>
    </row>
    <row r="7" customFormat="false" ht="18" hidden="false" customHeight="true" outlineLevel="0" collapsed="false">
      <c r="A7" s="57"/>
      <c r="B7" s="83" t="s">
        <v>181</v>
      </c>
      <c r="C7" s="84" t="n">
        <v>3980</v>
      </c>
      <c r="D7" s="85" t="n">
        <f aca="false">C7-C6</f>
        <v>180</v>
      </c>
      <c r="E7" s="86" t="n">
        <f aca="false">IFERROR((C7-C6)/C6,0)</f>
        <v>0.0473684210526316</v>
      </c>
      <c r="F7" s="87" t="n">
        <v>4</v>
      </c>
      <c r="G7" s="84" t="n">
        <v>14480</v>
      </c>
      <c r="H7" s="84" t="n">
        <v>413</v>
      </c>
      <c r="I7" s="88" t="n">
        <f aca="false">IFERROR(H7/G7,0)</f>
        <v>0.0285220994475138</v>
      </c>
      <c r="J7" s="84" t="n">
        <v>195</v>
      </c>
      <c r="K7" s="84" t="n">
        <v>50</v>
      </c>
      <c r="L7" s="84" t="n">
        <v>102</v>
      </c>
      <c r="M7" s="84" t="n">
        <v>0</v>
      </c>
      <c r="N7" s="83" t="s">
        <v>180</v>
      </c>
      <c r="O7" s="57"/>
      <c r="P7" s="57"/>
      <c r="Q7" s="57"/>
    </row>
    <row r="8" customFormat="false" ht="18" hidden="false" customHeight="true" outlineLevel="0" collapsed="false">
      <c r="A8" s="57"/>
      <c r="B8" s="77" t="s">
        <v>182</v>
      </c>
      <c r="C8" s="78" t="n">
        <v>4160</v>
      </c>
      <c r="D8" s="79" t="n">
        <f aca="false">C8-C7</f>
        <v>180</v>
      </c>
      <c r="E8" s="89" t="n">
        <f aca="false">IFERROR((C8-C7)/C7,0)</f>
        <v>0.0452261306532663</v>
      </c>
      <c r="F8" s="81" t="n">
        <v>4</v>
      </c>
      <c r="G8" s="78" t="n">
        <v>19720</v>
      </c>
      <c r="H8" s="78" t="n">
        <v>568</v>
      </c>
      <c r="I8" s="82" t="n">
        <f aca="false">IFERROR(H8/G8,0)</f>
        <v>0.0288032454361055</v>
      </c>
      <c r="J8" s="78" t="n">
        <v>267</v>
      </c>
      <c r="K8" s="78" t="n">
        <v>69</v>
      </c>
      <c r="L8" s="78" t="n">
        <v>142</v>
      </c>
      <c r="M8" s="78" t="n">
        <v>0</v>
      </c>
      <c r="N8" s="77" t="s">
        <v>180</v>
      </c>
      <c r="O8" s="57"/>
      <c r="P8" s="57"/>
      <c r="Q8" s="57"/>
    </row>
    <row r="9" customFormat="false" ht="18" hidden="false" customHeight="true" outlineLevel="0" collapsed="false">
      <c r="A9" s="57"/>
      <c r="B9" s="83" t="s">
        <v>183</v>
      </c>
      <c r="C9" s="84" t="n">
        <v>4320</v>
      </c>
      <c r="D9" s="85" t="n">
        <f aca="false">C9-C8</f>
        <v>160</v>
      </c>
      <c r="E9" s="86" t="n">
        <f aca="false">IFERROR((C9-C8)/C8,0)</f>
        <v>0.0384615384615385</v>
      </c>
      <c r="F9" s="87" t="n">
        <v>4</v>
      </c>
      <c r="G9" s="84" t="n">
        <v>16530</v>
      </c>
      <c r="H9" s="84" t="n">
        <v>474</v>
      </c>
      <c r="I9" s="88" t="n">
        <f aca="false">IFERROR(H9/G9,0)</f>
        <v>0.0286751361161525</v>
      </c>
      <c r="J9" s="84" t="n">
        <v>224</v>
      </c>
      <c r="K9" s="84" t="n">
        <v>57</v>
      </c>
      <c r="L9" s="84" t="n">
        <v>118</v>
      </c>
      <c r="M9" s="84" t="n">
        <v>0</v>
      </c>
      <c r="N9" s="83" t="s">
        <v>180</v>
      </c>
      <c r="O9" s="57"/>
      <c r="P9" s="57"/>
      <c r="Q9" s="57"/>
    </row>
    <row r="10" customFormat="false" ht="18" hidden="false" customHeight="true" outlineLevel="0" collapsed="false">
      <c r="A10" s="57"/>
      <c r="B10" s="77" t="s">
        <v>184</v>
      </c>
      <c r="C10" s="78" t="n">
        <v>4510</v>
      </c>
      <c r="D10" s="79" t="n">
        <f aca="false">C10-C9</f>
        <v>190</v>
      </c>
      <c r="E10" s="89" t="n">
        <f aca="false">IFERROR((C10-C9)/C9,0)</f>
        <v>0.0439814814814815</v>
      </c>
      <c r="F10" s="81" t="n">
        <v>4</v>
      </c>
      <c r="G10" s="78" t="n">
        <v>20750</v>
      </c>
      <c r="H10" s="78" t="n">
        <v>598</v>
      </c>
      <c r="I10" s="82" t="n">
        <f aca="false">IFERROR(H10/G10,0)</f>
        <v>0.0288192771084337</v>
      </c>
      <c r="J10" s="78" t="n">
        <v>282</v>
      </c>
      <c r="K10" s="78" t="n">
        <v>73</v>
      </c>
      <c r="L10" s="78" t="n">
        <v>149</v>
      </c>
      <c r="M10" s="78" t="n">
        <v>0</v>
      </c>
      <c r="N10" s="77" t="s">
        <v>180</v>
      </c>
      <c r="O10" s="57"/>
      <c r="P10" s="57"/>
      <c r="Q10" s="57"/>
    </row>
    <row r="11" customFormat="false" ht="18" hidden="false" customHeight="true" outlineLevel="0" collapsed="false">
      <c r="A11" s="57"/>
      <c r="B11" s="83" t="s">
        <v>185</v>
      </c>
      <c r="C11" s="84" t="n">
        <v>4680</v>
      </c>
      <c r="D11" s="85" t="n">
        <f aca="false">C11-C10</f>
        <v>170</v>
      </c>
      <c r="E11" s="86" t="n">
        <f aca="false">IFERROR((C11-C10)/C10,0)</f>
        <v>0.0376940133037694</v>
      </c>
      <c r="F11" s="87" t="n">
        <v>4</v>
      </c>
      <c r="G11" s="84" t="n">
        <v>17820</v>
      </c>
      <c r="H11" s="84" t="n">
        <v>513</v>
      </c>
      <c r="I11" s="88" t="n">
        <f aca="false">IFERROR(H11/G11,0)</f>
        <v>0.0287878787878788</v>
      </c>
      <c r="J11" s="84" t="n">
        <v>241</v>
      </c>
      <c r="K11" s="84" t="n">
        <v>63</v>
      </c>
      <c r="L11" s="84" t="n">
        <v>128</v>
      </c>
      <c r="M11" s="84" t="n">
        <v>0</v>
      </c>
      <c r="N11" s="83" t="s">
        <v>180</v>
      </c>
      <c r="O11" s="57"/>
      <c r="P11" s="57"/>
      <c r="Q11" s="57"/>
    </row>
    <row r="12" customFormat="false" ht="18" hidden="false" customHeight="true" outlineLevel="0" collapsed="false">
      <c r="A12" s="57"/>
      <c r="B12" s="77" t="s">
        <v>186</v>
      </c>
      <c r="C12" s="78" t="n">
        <v>4870</v>
      </c>
      <c r="D12" s="79" t="n">
        <f aca="false">C12-C11</f>
        <v>190</v>
      </c>
      <c r="E12" s="89" t="n">
        <f aca="false">IFERROR((C12-C11)/C11,0)</f>
        <v>0.0405982905982906</v>
      </c>
      <c r="F12" s="81" t="n">
        <v>3</v>
      </c>
      <c r="G12" s="78" t="n">
        <v>13040</v>
      </c>
      <c r="H12" s="78" t="n">
        <v>373</v>
      </c>
      <c r="I12" s="82" t="n">
        <f aca="false">IFERROR(H12/G12,0)</f>
        <v>0.0286042944785276</v>
      </c>
      <c r="J12" s="78" t="n">
        <v>176</v>
      </c>
      <c r="K12" s="78" t="n">
        <v>46</v>
      </c>
      <c r="L12" s="78" t="n">
        <v>92</v>
      </c>
      <c r="M12" s="78" t="n">
        <v>0</v>
      </c>
      <c r="N12" s="77" t="s">
        <v>180</v>
      </c>
      <c r="O12" s="57"/>
      <c r="P12" s="57"/>
      <c r="Q12" s="57"/>
    </row>
    <row r="13" customFormat="false" ht="18" hidden="false" customHeight="true" outlineLevel="0" collapsed="false">
      <c r="A13" s="57"/>
      <c r="B13" s="83" t="s">
        <v>187</v>
      </c>
      <c r="C13" s="84" t="n">
        <v>5050</v>
      </c>
      <c r="D13" s="85" t="n">
        <f aca="false">C13-C12</f>
        <v>180</v>
      </c>
      <c r="E13" s="86" t="n">
        <f aca="false">IFERROR((C13-C12)/C12,0)</f>
        <v>0.0369609856262834</v>
      </c>
      <c r="F13" s="87" t="n">
        <v>3</v>
      </c>
      <c r="G13" s="84" t="n">
        <v>16740</v>
      </c>
      <c r="H13" s="84" t="n">
        <v>481</v>
      </c>
      <c r="I13" s="88" t="n">
        <f aca="false">IFERROR(H13/G13,0)</f>
        <v>0.0287335722819594</v>
      </c>
      <c r="J13" s="84" t="n">
        <v>226</v>
      </c>
      <c r="K13" s="84" t="n">
        <v>59</v>
      </c>
      <c r="L13" s="84" t="n">
        <v>120</v>
      </c>
      <c r="M13" s="84" t="n">
        <v>0</v>
      </c>
      <c r="N13" s="83" t="s">
        <v>180</v>
      </c>
      <c r="O13" s="57"/>
      <c r="P13" s="57"/>
      <c r="Q13" s="57"/>
    </row>
    <row r="14" customFormat="false" ht="18" hidden="false" customHeight="true" outlineLevel="0" collapsed="false">
      <c r="A14" s="57"/>
      <c r="B14" s="77" t="s">
        <v>188</v>
      </c>
      <c r="C14" s="78" t="n">
        <v>5240</v>
      </c>
      <c r="D14" s="79" t="n">
        <f aca="false">C14-C13</f>
        <v>190</v>
      </c>
      <c r="E14" s="89" t="n">
        <f aca="false">IFERROR((C14-C13)/C13,0)</f>
        <v>0.0376237623762376</v>
      </c>
      <c r="F14" s="81" t="n">
        <v>3</v>
      </c>
      <c r="G14" s="78" t="n">
        <v>16320</v>
      </c>
      <c r="H14" s="78" t="n">
        <v>467</v>
      </c>
      <c r="I14" s="82" t="n">
        <f aca="false">IFERROR(H14/G14,0)</f>
        <v>0.0286151960784314</v>
      </c>
      <c r="J14" s="78" t="n">
        <v>220</v>
      </c>
      <c r="K14" s="78" t="n">
        <v>56</v>
      </c>
      <c r="L14" s="78" t="n">
        <v>117</v>
      </c>
      <c r="M14" s="78" t="n">
        <v>0</v>
      </c>
      <c r="N14" s="77" t="s">
        <v>180</v>
      </c>
      <c r="O14" s="57"/>
      <c r="P14" s="57"/>
      <c r="Q14" s="57"/>
    </row>
    <row r="15" customFormat="false" ht="18" hidden="false" customHeight="true" outlineLevel="0" collapsed="false">
      <c r="A15" s="57"/>
      <c r="B15" s="83" t="s">
        <v>189</v>
      </c>
      <c r="C15" s="84" t="n">
        <v>5430</v>
      </c>
      <c r="D15" s="85" t="n">
        <f aca="false">C15-C14</f>
        <v>190</v>
      </c>
      <c r="E15" s="86" t="n">
        <f aca="false">IFERROR((C15-C14)/C14,0)</f>
        <v>0.0362595419847328</v>
      </c>
      <c r="F15" s="87" t="n">
        <v>3</v>
      </c>
      <c r="G15" s="84" t="n">
        <v>16250</v>
      </c>
      <c r="H15" s="84" t="n">
        <v>468</v>
      </c>
      <c r="I15" s="88" t="n">
        <f aca="false">IFERROR(H15/G15,0)</f>
        <v>0.0288</v>
      </c>
      <c r="J15" s="84" t="n">
        <v>219</v>
      </c>
      <c r="K15" s="84" t="n">
        <v>57</v>
      </c>
      <c r="L15" s="84" t="n">
        <v>118</v>
      </c>
      <c r="M15" s="84" t="n">
        <v>0</v>
      </c>
      <c r="N15" s="83" t="s">
        <v>180</v>
      </c>
      <c r="O15" s="57"/>
      <c r="P15" s="57"/>
      <c r="Q15" s="57"/>
    </row>
    <row r="16" customFormat="false" ht="18" hidden="false" customHeight="true" outlineLevel="0" collapsed="false">
      <c r="A16" s="57"/>
      <c r="B16" s="77" t="s">
        <v>190</v>
      </c>
      <c r="C16" s="78" t="n">
        <v>5620</v>
      </c>
      <c r="D16" s="79" t="n">
        <f aca="false">C16-C15</f>
        <v>190</v>
      </c>
      <c r="E16" s="89" t="n">
        <f aca="false">IFERROR((C16-C15)/C15,0)</f>
        <v>0.0349907918968692</v>
      </c>
      <c r="F16" s="81" t="n">
        <v>3</v>
      </c>
      <c r="G16" s="78" t="n">
        <v>16640</v>
      </c>
      <c r="H16" s="78" t="n">
        <v>477</v>
      </c>
      <c r="I16" s="82" t="n">
        <f aca="false">IFERROR(H16/G16,0)</f>
        <v>0.0286658653846154</v>
      </c>
      <c r="J16" s="78" t="n">
        <v>225</v>
      </c>
      <c r="K16" s="78" t="n">
        <v>58</v>
      </c>
      <c r="L16" s="78" t="n">
        <v>119</v>
      </c>
      <c r="M16" s="78" t="n">
        <v>0</v>
      </c>
      <c r="N16" s="77" t="s">
        <v>180</v>
      </c>
      <c r="O16" s="57"/>
      <c r="P16" s="57"/>
      <c r="Q16" s="57"/>
    </row>
    <row r="17" customFormat="false" ht="18" hidden="false" customHeight="true" outlineLevel="0" collapsed="false">
      <c r="A17" s="57"/>
      <c r="B17" s="83" t="s">
        <v>191</v>
      </c>
      <c r="C17" s="84" t="n">
        <v>5830</v>
      </c>
      <c r="D17" s="85" t="n">
        <f aca="false">C17-C16</f>
        <v>210</v>
      </c>
      <c r="E17" s="86" t="n">
        <f aca="false">IFERROR((C17-C16)/C16,0)</f>
        <v>0.0373665480427046</v>
      </c>
      <c r="F17" s="87" t="n">
        <v>3</v>
      </c>
      <c r="G17" s="84" t="n">
        <v>14880</v>
      </c>
      <c r="H17" s="84" t="n">
        <v>427</v>
      </c>
      <c r="I17" s="88" t="n">
        <f aca="false">IFERROR(H17/G17,0)</f>
        <v>0.0286962365591398</v>
      </c>
      <c r="J17" s="84" t="n">
        <v>201</v>
      </c>
      <c r="K17" s="84" t="n">
        <v>52</v>
      </c>
      <c r="L17" s="84" t="n">
        <v>107</v>
      </c>
      <c r="M17" s="84" t="n">
        <v>0</v>
      </c>
      <c r="N17" s="83" t="s">
        <v>180</v>
      </c>
      <c r="O17" s="57"/>
      <c r="P17" s="57"/>
      <c r="Q17" s="57"/>
    </row>
    <row r="18" customFormat="false" ht="18" hidden="false" customHeight="true" outlineLevel="0" collapsed="false">
      <c r="A18" s="57"/>
      <c r="B18" s="77" t="s">
        <v>192</v>
      </c>
      <c r="C18" s="78" t="n">
        <v>6050</v>
      </c>
      <c r="D18" s="79" t="n">
        <f aca="false">C18-C17</f>
        <v>220</v>
      </c>
      <c r="E18" s="89" t="n">
        <f aca="false">IFERROR((C18-C17)/C17,0)</f>
        <v>0.0377358490566038</v>
      </c>
      <c r="F18" s="81" t="n">
        <v>3</v>
      </c>
      <c r="G18" s="78" t="n">
        <v>35260</v>
      </c>
      <c r="H18" s="78" t="n">
        <v>1543</v>
      </c>
      <c r="I18" s="82" t="n">
        <f aca="false">IFERROR(H18/G18,0)</f>
        <v>0.0437606352807714</v>
      </c>
      <c r="J18" s="78" t="n">
        <v>809</v>
      </c>
      <c r="K18" s="78" t="n">
        <v>179</v>
      </c>
      <c r="L18" s="78" t="n">
        <v>285</v>
      </c>
      <c r="M18" s="78" t="n">
        <v>0</v>
      </c>
      <c r="N18" s="77" t="s">
        <v>180</v>
      </c>
      <c r="O18" s="57"/>
      <c r="P18" s="57"/>
      <c r="Q18" s="57"/>
    </row>
    <row r="19" customFormat="false" ht="18" hidden="false" customHeight="true" outlineLevel="0" collapsed="false">
      <c r="A19" s="57"/>
      <c r="B19" s="83" t="s">
        <v>193</v>
      </c>
      <c r="C19" s="84" t="n">
        <v>6280</v>
      </c>
      <c r="D19" s="85" t="n">
        <f aca="false">C19-C18</f>
        <v>230</v>
      </c>
      <c r="E19" s="86" t="n">
        <f aca="false">IFERROR((C19-C18)/C18,0)</f>
        <v>0.0380165289256198</v>
      </c>
      <c r="F19" s="87" t="n">
        <v>2</v>
      </c>
      <c r="G19" s="84" t="n">
        <v>10600</v>
      </c>
      <c r="H19" s="84" t="n">
        <v>304</v>
      </c>
      <c r="I19" s="88" t="n">
        <f aca="false">IFERROR(H19/G19,0)</f>
        <v>0.0286792452830189</v>
      </c>
      <c r="J19" s="84" t="n">
        <v>143</v>
      </c>
      <c r="K19" s="84" t="n">
        <v>37</v>
      </c>
      <c r="L19" s="84" t="n">
        <v>76</v>
      </c>
      <c r="M19" s="84" t="n">
        <v>0</v>
      </c>
      <c r="N19" s="83" t="s">
        <v>180</v>
      </c>
      <c r="O19" s="57"/>
      <c r="P19" s="57"/>
      <c r="Q19" s="57"/>
    </row>
    <row r="20" customFormat="false" ht="18" hidden="false" customHeight="true" outlineLevel="0" collapsed="false">
      <c r="A20" s="57"/>
      <c r="B20" s="77" t="s">
        <v>194</v>
      </c>
      <c r="C20" s="78" t="n">
        <v>6500</v>
      </c>
      <c r="D20" s="79" t="n">
        <f aca="false">C20-C19</f>
        <v>220</v>
      </c>
      <c r="E20" s="89" t="n">
        <f aca="false">IFERROR((C20-C19)/C19,0)</f>
        <v>0.035031847133758</v>
      </c>
      <c r="F20" s="81" t="n">
        <v>3</v>
      </c>
      <c r="G20" s="78" t="n">
        <v>28660</v>
      </c>
      <c r="H20" s="78" t="n">
        <v>1260</v>
      </c>
      <c r="I20" s="82" t="n">
        <f aca="false">IFERROR(H20/G20,0)</f>
        <v>0.043963712491277</v>
      </c>
      <c r="J20" s="78" t="n">
        <v>651</v>
      </c>
      <c r="K20" s="78" t="n">
        <v>141</v>
      </c>
      <c r="L20" s="78" t="n">
        <v>250</v>
      </c>
      <c r="M20" s="78" t="n">
        <v>0</v>
      </c>
      <c r="N20" s="77" t="s">
        <v>180</v>
      </c>
      <c r="O20" s="57"/>
      <c r="P20" s="57"/>
      <c r="Q20" s="57"/>
    </row>
    <row r="21" customFormat="false" ht="18" hidden="false" customHeight="true" outlineLevel="0" collapsed="false">
      <c r="A21" s="57"/>
      <c r="B21" s="83" t="s">
        <v>195</v>
      </c>
      <c r="C21" s="84" t="n">
        <v>6740</v>
      </c>
      <c r="D21" s="85" t="n">
        <f aca="false">C21-C20</f>
        <v>240</v>
      </c>
      <c r="E21" s="86" t="n">
        <f aca="false">IFERROR((C21-C20)/C20,0)</f>
        <v>0.0369230769230769</v>
      </c>
      <c r="F21" s="87" t="n">
        <v>2</v>
      </c>
      <c r="G21" s="84" t="n">
        <v>10200</v>
      </c>
      <c r="H21" s="84" t="n">
        <v>292</v>
      </c>
      <c r="I21" s="88" t="n">
        <f aca="false">IFERROR(H21/G21,0)</f>
        <v>0.0286274509803922</v>
      </c>
      <c r="J21" s="84" t="n">
        <v>138</v>
      </c>
      <c r="K21" s="84" t="n">
        <v>36</v>
      </c>
      <c r="L21" s="84" t="n">
        <v>72</v>
      </c>
      <c r="M21" s="84" t="n">
        <v>0</v>
      </c>
      <c r="N21" s="83" t="s">
        <v>180</v>
      </c>
      <c r="O21" s="57"/>
      <c r="P21" s="57"/>
      <c r="Q21" s="57"/>
    </row>
    <row r="22" customFormat="false" ht="18" hidden="false" customHeight="true" outlineLevel="0" collapsed="false">
      <c r="A22" s="57"/>
      <c r="B22" s="77" t="s">
        <v>196</v>
      </c>
      <c r="C22" s="78" t="n">
        <v>6980</v>
      </c>
      <c r="D22" s="79" t="n">
        <f aca="false">C22-C21</f>
        <v>240</v>
      </c>
      <c r="E22" s="89" t="n">
        <f aca="false">IFERROR((C22-C21)/C21,0)</f>
        <v>0.0356083086053413</v>
      </c>
      <c r="F22" s="81" t="n">
        <v>1</v>
      </c>
      <c r="G22" s="78" t="n">
        <v>6240</v>
      </c>
      <c r="H22" s="78" t="n">
        <v>180</v>
      </c>
      <c r="I22" s="82" t="n">
        <f aca="false">IFERROR(H22/G22,0)</f>
        <v>0.0288461538461538</v>
      </c>
      <c r="J22" s="78" t="n">
        <v>84</v>
      </c>
      <c r="K22" s="78" t="n">
        <v>22</v>
      </c>
      <c r="L22" s="78" t="n">
        <v>45</v>
      </c>
      <c r="M22" s="78" t="n">
        <v>0</v>
      </c>
      <c r="N22" s="77" t="s">
        <v>180</v>
      </c>
      <c r="O22" s="57"/>
      <c r="P22" s="57"/>
      <c r="Q22" s="57"/>
    </row>
    <row r="23" customFormat="false" ht="18" hidden="false" customHeight="true" outlineLevel="0" collapsed="false">
      <c r="A23" s="57"/>
      <c r="B23" s="83" t="s">
        <v>197</v>
      </c>
      <c r="C23" s="84" t="n">
        <v>7220</v>
      </c>
      <c r="D23" s="85" t="n">
        <f aca="false">C23-C22</f>
        <v>240</v>
      </c>
      <c r="E23" s="86" t="n">
        <f aca="false">IFERROR((C23-C22)/C22,0)</f>
        <v>0.0343839541547278</v>
      </c>
      <c r="F23" s="87" t="n">
        <v>1</v>
      </c>
      <c r="G23" s="84" t="n">
        <v>5920</v>
      </c>
      <c r="H23" s="84" t="n">
        <v>171</v>
      </c>
      <c r="I23" s="88" t="n">
        <f aca="false">IFERROR(H23/G23,0)</f>
        <v>0.0288851351351351</v>
      </c>
      <c r="J23" s="84" t="n">
        <v>80</v>
      </c>
      <c r="K23" s="84" t="n">
        <v>21</v>
      </c>
      <c r="L23" s="84" t="n">
        <v>43</v>
      </c>
      <c r="M23" s="84" t="n">
        <v>0</v>
      </c>
      <c r="N23" s="83" t="s">
        <v>180</v>
      </c>
      <c r="O23" s="57"/>
      <c r="P23" s="57"/>
      <c r="Q23" s="57"/>
    </row>
    <row r="24" customFormat="false" ht="18" hidden="false" customHeight="true" outlineLevel="0" collapsed="false">
      <c r="A24" s="57"/>
      <c r="B24" s="77" t="s">
        <v>198</v>
      </c>
      <c r="C24" s="78" t="n">
        <v>7460</v>
      </c>
      <c r="D24" s="79" t="n">
        <f aca="false">C24-C23</f>
        <v>240</v>
      </c>
      <c r="E24" s="89" t="n">
        <f aca="false">IFERROR((C24-C23)/C23,0)</f>
        <v>0.0332409972299169</v>
      </c>
      <c r="F24" s="81" t="n">
        <v>1</v>
      </c>
      <c r="G24" s="78" t="n">
        <v>5480</v>
      </c>
      <c r="H24" s="78" t="n">
        <v>157</v>
      </c>
      <c r="I24" s="82" t="n">
        <f aca="false">IFERROR(H24/G24,0)</f>
        <v>0.0286496350364964</v>
      </c>
      <c r="J24" s="78" t="n">
        <v>74</v>
      </c>
      <c r="K24" s="78" t="n">
        <v>19</v>
      </c>
      <c r="L24" s="78" t="n">
        <v>39</v>
      </c>
      <c r="M24" s="78" t="n">
        <v>0</v>
      </c>
      <c r="N24" s="77" t="s">
        <v>180</v>
      </c>
      <c r="O24" s="57"/>
      <c r="P24" s="57"/>
      <c r="Q24" s="57"/>
    </row>
    <row r="25" customFormat="false" ht="18" hidden="false" customHeight="true" outlineLevel="0" collapsed="false">
      <c r="A25" s="57"/>
      <c r="B25" s="83" t="s">
        <v>199</v>
      </c>
      <c r="C25" s="84" t="n">
        <v>7700</v>
      </c>
      <c r="D25" s="85" t="n">
        <f aca="false">C25-C24</f>
        <v>240</v>
      </c>
      <c r="E25" s="86" t="n">
        <f aca="false">IFERROR((C25-C24)/C24,0)</f>
        <v>0.032171581769437</v>
      </c>
      <c r="F25" s="87" t="n">
        <v>1</v>
      </c>
      <c r="G25" s="84" t="n">
        <v>6180</v>
      </c>
      <c r="H25" s="84" t="n">
        <v>179</v>
      </c>
      <c r="I25" s="88" t="n">
        <f aca="false">IFERROR(H25/G25,0)</f>
        <v>0.0289644012944984</v>
      </c>
      <c r="J25" s="84" t="n">
        <v>84</v>
      </c>
      <c r="K25" s="84" t="n">
        <v>22</v>
      </c>
      <c r="L25" s="84" t="n">
        <v>45</v>
      </c>
      <c r="M25" s="84" t="n">
        <v>0</v>
      </c>
      <c r="N25" s="83" t="s">
        <v>180</v>
      </c>
      <c r="O25" s="57"/>
      <c r="P25" s="57"/>
      <c r="Q25" s="57"/>
    </row>
    <row r="26" customFormat="false" ht="18" hidden="false" customHeight="true" outlineLevel="0" collapsed="false">
      <c r="A26" s="57"/>
      <c r="B26" s="77" t="s">
        <v>200</v>
      </c>
      <c r="C26" s="78" t="n">
        <v>7940</v>
      </c>
      <c r="D26" s="79" t="n">
        <f aca="false">C26-C25</f>
        <v>240</v>
      </c>
      <c r="E26" s="89" t="n">
        <f aca="false">IFERROR((C26-C25)/C25,0)</f>
        <v>0.0311688311688312</v>
      </c>
      <c r="F26" s="81" t="n">
        <v>1</v>
      </c>
      <c r="G26" s="78" t="n">
        <v>5640</v>
      </c>
      <c r="H26" s="78" t="n">
        <v>163</v>
      </c>
      <c r="I26" s="82" t="n">
        <f aca="false">IFERROR(H26/G26,0)</f>
        <v>0.0289007092198582</v>
      </c>
      <c r="J26" s="78" t="n">
        <v>76</v>
      </c>
      <c r="K26" s="78" t="n">
        <v>20</v>
      </c>
      <c r="L26" s="78" t="n">
        <v>41</v>
      </c>
      <c r="M26" s="78" t="n">
        <v>0</v>
      </c>
      <c r="N26" s="77" t="s">
        <v>180</v>
      </c>
      <c r="O26" s="57"/>
      <c r="P26" s="57"/>
      <c r="Q26" s="57"/>
    </row>
    <row r="27" customFormat="false" ht="18" hidden="false" customHeight="true" outlineLevel="0" collapsed="false">
      <c r="A27" s="57"/>
      <c r="B27" s="83" t="s">
        <v>201</v>
      </c>
      <c r="C27" s="84" t="n">
        <v>8100</v>
      </c>
      <c r="D27" s="85" t="n">
        <f aca="false">C27-C26</f>
        <v>160</v>
      </c>
      <c r="E27" s="86" t="n">
        <f aca="false">IFERROR((C27-C26)/C26,0)</f>
        <v>0.0201511335012594</v>
      </c>
      <c r="F27" s="87" t="n">
        <v>2</v>
      </c>
      <c r="G27" s="84" t="n">
        <v>12400</v>
      </c>
      <c r="H27" s="84" t="n">
        <v>358</v>
      </c>
      <c r="I27" s="88" t="n">
        <f aca="false">IFERROR(H27/G27,0)</f>
        <v>0.0288709677419355</v>
      </c>
      <c r="J27" s="84" t="n">
        <v>168</v>
      </c>
      <c r="K27" s="84" t="n">
        <v>44</v>
      </c>
      <c r="L27" s="84" t="n">
        <v>90</v>
      </c>
      <c r="M27" s="84" t="n">
        <v>0</v>
      </c>
      <c r="N27" s="83" t="s">
        <v>180</v>
      </c>
      <c r="O27" s="57"/>
      <c r="P27" s="57"/>
      <c r="Q27" s="57"/>
    </row>
    <row r="28" customFormat="false" ht="18" hidden="false" customHeight="true" outlineLevel="0" collapsed="false">
      <c r="A28" s="57"/>
      <c r="B28" s="77" t="s">
        <v>61</v>
      </c>
      <c r="C28" s="78" t="n">
        <v>8230</v>
      </c>
      <c r="D28" s="79" t="n">
        <f aca="false">C28-C27</f>
        <v>130</v>
      </c>
      <c r="E28" s="89" t="n">
        <f aca="false">IFERROR((C28-C27)/C27,0)</f>
        <v>0.0160493827160494</v>
      </c>
      <c r="F28" s="81" t="n">
        <v>2</v>
      </c>
      <c r="G28" s="78" t="n">
        <v>23120</v>
      </c>
      <c r="H28" s="78" t="n">
        <v>1312</v>
      </c>
      <c r="I28" s="82" t="n">
        <f aca="false">IFERROR(H28/G28,0)</f>
        <v>0.0567474048442907</v>
      </c>
      <c r="J28" s="78" t="n">
        <v>686</v>
      </c>
      <c r="K28" s="78" t="n">
        <v>150</v>
      </c>
      <c r="L28" s="78" t="n">
        <v>247</v>
      </c>
      <c r="M28" s="78" t="n">
        <v>0</v>
      </c>
      <c r="N28" s="77" t="s">
        <v>180</v>
      </c>
      <c r="O28" s="57"/>
      <c r="P28" s="57"/>
      <c r="Q28" s="57"/>
    </row>
    <row r="29" customFormat="false" ht="18" hidden="false" customHeight="true" outlineLevel="0" collapsed="false">
      <c r="A29" s="57"/>
      <c r="B29" s="83" t="s">
        <v>62</v>
      </c>
      <c r="C29" s="84" t="n">
        <v>8380</v>
      </c>
      <c r="D29" s="85" t="n">
        <f aca="false">C29-C28</f>
        <v>150</v>
      </c>
      <c r="E29" s="86" t="n">
        <f aca="false">IFERROR((C29-C28)/C28,0)</f>
        <v>0.0182260024301337</v>
      </c>
      <c r="F29" s="87" t="n">
        <v>1</v>
      </c>
      <c r="G29" s="84" t="n">
        <v>5480</v>
      </c>
      <c r="H29" s="84" t="n">
        <v>157</v>
      </c>
      <c r="I29" s="88" t="n">
        <f aca="false">IFERROR(H29/G29,0)</f>
        <v>0.0286496350364964</v>
      </c>
      <c r="J29" s="84" t="n">
        <v>74</v>
      </c>
      <c r="K29" s="84" t="n">
        <v>19</v>
      </c>
      <c r="L29" s="84" t="n">
        <v>39</v>
      </c>
      <c r="M29" s="84" t="n">
        <v>0</v>
      </c>
      <c r="N29" s="83" t="s">
        <v>180</v>
      </c>
      <c r="O29" s="57"/>
      <c r="P29" s="57"/>
      <c r="Q29" s="57"/>
    </row>
    <row r="30" customFormat="false" ht="18" hidden="false" customHeight="true" outlineLevel="0" collapsed="false">
      <c r="A30" s="57"/>
      <c r="B30" s="77" t="s">
        <v>63</v>
      </c>
      <c r="C30" s="78" t="n">
        <v>8520</v>
      </c>
      <c r="D30" s="79" t="n">
        <f aca="false">C30-C29</f>
        <v>140</v>
      </c>
      <c r="E30" s="89" t="n">
        <f aca="false">IFERROR((C30-C29)/C29,0)</f>
        <v>0.0167064439140811</v>
      </c>
      <c r="F30" s="81" t="n">
        <v>1</v>
      </c>
      <c r="G30" s="78" t="n">
        <v>6240</v>
      </c>
      <c r="H30" s="78" t="n">
        <v>180</v>
      </c>
      <c r="I30" s="82" t="n">
        <f aca="false">IFERROR(H30/G30,0)</f>
        <v>0.0288461538461538</v>
      </c>
      <c r="J30" s="78" t="n">
        <v>84</v>
      </c>
      <c r="K30" s="78" t="n">
        <v>22</v>
      </c>
      <c r="L30" s="78" t="n">
        <v>45</v>
      </c>
      <c r="M30" s="78" t="n">
        <v>0</v>
      </c>
      <c r="N30" s="77" t="s">
        <v>180</v>
      </c>
      <c r="O30" s="57"/>
      <c r="P30" s="57"/>
      <c r="Q30" s="57"/>
    </row>
    <row r="31" customFormat="false" ht="18" hidden="false" customHeight="true" outlineLevel="0" collapsed="false">
      <c r="A31" s="57"/>
      <c r="B31" s="83" t="s">
        <v>64</v>
      </c>
      <c r="C31" s="84" t="n">
        <v>8664</v>
      </c>
      <c r="D31" s="85" t="n">
        <f aca="false">C31-C30</f>
        <v>144</v>
      </c>
      <c r="E31" s="86" t="n">
        <f aca="false">IFERROR((C31-C30)/C30,0)</f>
        <v>0.0169014084507042</v>
      </c>
      <c r="F31" s="87" t="n">
        <v>1</v>
      </c>
      <c r="G31" s="84" t="n">
        <v>7800</v>
      </c>
      <c r="H31" s="84" t="n">
        <v>226</v>
      </c>
      <c r="I31" s="88" t="n">
        <f aca="false">IFERROR(H31/G31,0)</f>
        <v>0.028974358974359</v>
      </c>
      <c r="J31" s="84" t="n">
        <v>106</v>
      </c>
      <c r="K31" s="84" t="n">
        <v>27</v>
      </c>
      <c r="L31" s="84" t="n">
        <v>57</v>
      </c>
      <c r="M31" s="84" t="n">
        <v>0</v>
      </c>
      <c r="N31" s="83" t="s">
        <v>180</v>
      </c>
      <c r="O31" s="57"/>
      <c r="P31" s="57"/>
      <c r="Q31" s="57"/>
    </row>
    <row r="32" customFormat="false" ht="18" hidden="false" customHeight="true" outlineLevel="0" collapsed="false">
      <c r="A32" s="57"/>
      <c r="B32" s="77" t="s">
        <v>65</v>
      </c>
      <c r="C32" s="78" t="n">
        <v>8820</v>
      </c>
      <c r="D32" s="79" t="n">
        <f aca="false">C32-C31</f>
        <v>156</v>
      </c>
      <c r="E32" s="89" t="n">
        <f aca="false">IFERROR((C32-C31)/C31,0)</f>
        <v>0.018005540166205</v>
      </c>
      <c r="F32" s="81" t="n">
        <v>1</v>
      </c>
      <c r="G32" s="78" t="n">
        <v>5920</v>
      </c>
      <c r="H32" s="78" t="n">
        <v>171</v>
      </c>
      <c r="I32" s="82" t="n">
        <f aca="false">IFERROR(H32/G32,0)</f>
        <v>0.0288851351351351</v>
      </c>
      <c r="J32" s="78" t="n">
        <v>80</v>
      </c>
      <c r="K32" s="78" t="n">
        <v>21</v>
      </c>
      <c r="L32" s="78" t="n">
        <v>43</v>
      </c>
      <c r="M32" s="78" t="n">
        <v>0</v>
      </c>
      <c r="N32" s="77" t="s">
        <v>180</v>
      </c>
      <c r="O32" s="57"/>
      <c r="P32" s="57"/>
      <c r="Q32" s="57"/>
    </row>
    <row r="33" customFormat="false" ht="18" hidden="false" customHeight="true" outlineLevel="0" collapsed="false">
      <c r="A33" s="57"/>
      <c r="B33" s="83" t="s">
        <v>66</v>
      </c>
      <c r="C33" s="84" t="n">
        <v>9000</v>
      </c>
      <c r="D33" s="85" t="n">
        <f aca="false">C33-C32</f>
        <v>180</v>
      </c>
      <c r="E33" s="86" t="n">
        <f aca="false">IFERROR((C33-C32)/C32,0)</f>
        <v>0.0204081632653061</v>
      </c>
      <c r="F33" s="87" t="n">
        <v>2</v>
      </c>
      <c r="G33" s="84" t="n">
        <v>18040</v>
      </c>
      <c r="H33" s="84" t="n">
        <v>975</v>
      </c>
      <c r="I33" s="88" t="n">
        <f aca="false">IFERROR(H33/G33,0)</f>
        <v>0.0540465631929047</v>
      </c>
      <c r="J33" s="84" t="n">
        <v>496</v>
      </c>
      <c r="K33" s="84" t="n">
        <v>114</v>
      </c>
      <c r="L33" s="84" t="n">
        <v>199</v>
      </c>
      <c r="M33" s="84" t="n">
        <v>0</v>
      </c>
      <c r="N33" s="83" t="s">
        <v>180</v>
      </c>
      <c r="O33" s="57"/>
      <c r="P33" s="57"/>
      <c r="Q33" s="57"/>
    </row>
    <row r="34" customFormat="false" ht="15" hidden="false" customHeight="false" outlineLevel="0" collapsed="false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customFormat="false" ht="24" hidden="false" customHeight="true" outlineLevel="0" collapsed="false">
      <c r="A35" s="57"/>
      <c r="B35" s="90" t="s">
        <v>202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57"/>
      <c r="P35" s="57"/>
      <c r="Q35" s="57"/>
    </row>
    <row r="36" customFormat="false" ht="19.5" hidden="false" customHeight="true" outlineLevel="0" collapsed="false">
      <c r="A36" s="57"/>
      <c r="B36" s="40" t="s">
        <v>170</v>
      </c>
      <c r="C36" s="40" t="s">
        <v>4</v>
      </c>
      <c r="D36" s="40" t="s">
        <v>171</v>
      </c>
      <c r="E36" s="40" t="s">
        <v>172</v>
      </c>
      <c r="F36" s="40" t="s">
        <v>173</v>
      </c>
      <c r="G36" s="40" t="s">
        <v>79</v>
      </c>
      <c r="H36" s="40" t="s">
        <v>174</v>
      </c>
      <c r="I36" s="40" t="s">
        <v>175</v>
      </c>
      <c r="J36" s="40" t="s">
        <v>176</v>
      </c>
      <c r="K36" s="40" t="s">
        <v>81</v>
      </c>
      <c r="L36" s="40" t="s">
        <v>82</v>
      </c>
      <c r="M36" s="40" t="s">
        <v>177</v>
      </c>
      <c r="N36" s="40" t="s">
        <v>178</v>
      </c>
      <c r="O36" s="57"/>
      <c r="P36" s="57"/>
      <c r="Q36" s="57"/>
    </row>
    <row r="37" customFormat="false" ht="18" hidden="false" customHeight="true" outlineLevel="0" collapsed="false">
      <c r="A37" s="57"/>
      <c r="B37" s="77" t="s">
        <v>179</v>
      </c>
      <c r="C37" s="78" t="n">
        <v>2528</v>
      </c>
      <c r="D37" s="79"/>
      <c r="E37" s="80"/>
      <c r="F37" s="81" t="n">
        <v>5</v>
      </c>
      <c r="G37" s="78" t="n">
        <v>23100</v>
      </c>
      <c r="H37" s="78" t="n">
        <v>910</v>
      </c>
      <c r="I37" s="82" t="n">
        <f aca="false">IFERROR(H37/G37,0)</f>
        <v>0.0393939393939394</v>
      </c>
      <c r="J37" s="78" t="n">
        <v>485</v>
      </c>
      <c r="K37" s="78" t="n">
        <v>87</v>
      </c>
      <c r="L37" s="78" t="n">
        <v>40</v>
      </c>
      <c r="M37" s="78" t="n">
        <v>8920</v>
      </c>
      <c r="N37" s="77" t="s">
        <v>180</v>
      </c>
      <c r="O37" s="57"/>
      <c r="P37" s="57"/>
      <c r="Q37" s="57"/>
    </row>
    <row r="38" customFormat="false" ht="18" hidden="false" customHeight="true" outlineLevel="0" collapsed="false">
      <c r="A38" s="57"/>
      <c r="B38" s="83" t="s">
        <v>181</v>
      </c>
      <c r="C38" s="84" t="n">
        <v>2671</v>
      </c>
      <c r="D38" s="85" t="n">
        <f aca="false">C38-C37</f>
        <v>143</v>
      </c>
      <c r="E38" s="86" t="n">
        <f aca="false">IFERROR((C38-C37)/C37,0)</f>
        <v>0.0565664556962025</v>
      </c>
      <c r="F38" s="87" t="n">
        <v>4</v>
      </c>
      <c r="G38" s="84" t="n">
        <v>18800</v>
      </c>
      <c r="H38" s="84" t="n">
        <v>746</v>
      </c>
      <c r="I38" s="88" t="n">
        <f aca="false">IFERROR(H38/G38,0)</f>
        <v>0.0396808510638298</v>
      </c>
      <c r="J38" s="84" t="n">
        <v>396</v>
      </c>
      <c r="K38" s="84" t="n">
        <v>71</v>
      </c>
      <c r="L38" s="84" t="n">
        <v>35</v>
      </c>
      <c r="M38" s="84" t="n">
        <v>7280</v>
      </c>
      <c r="N38" s="83" t="s">
        <v>180</v>
      </c>
      <c r="O38" s="57"/>
      <c r="P38" s="57"/>
      <c r="Q38" s="57"/>
    </row>
    <row r="39" customFormat="false" ht="18" hidden="false" customHeight="true" outlineLevel="0" collapsed="false">
      <c r="A39" s="57"/>
      <c r="B39" s="77" t="s">
        <v>182</v>
      </c>
      <c r="C39" s="78" t="n">
        <v>2822</v>
      </c>
      <c r="D39" s="79" t="n">
        <f aca="false">C39-C38</f>
        <v>151</v>
      </c>
      <c r="E39" s="89" t="n">
        <f aca="false">IFERROR((C39-C38)/C38,0)</f>
        <v>0.0565331336578061</v>
      </c>
      <c r="F39" s="81" t="n">
        <v>4</v>
      </c>
      <c r="G39" s="78" t="n">
        <v>19800</v>
      </c>
      <c r="H39" s="78" t="n">
        <v>795</v>
      </c>
      <c r="I39" s="82" t="n">
        <f aca="false">IFERROR(H39/G39,0)</f>
        <v>0.0401515151515152</v>
      </c>
      <c r="J39" s="78" t="n">
        <v>422</v>
      </c>
      <c r="K39" s="78" t="n">
        <v>75</v>
      </c>
      <c r="L39" s="78" t="n">
        <v>38</v>
      </c>
      <c r="M39" s="78" t="n">
        <v>7760</v>
      </c>
      <c r="N39" s="77" t="s">
        <v>180</v>
      </c>
      <c r="O39" s="57"/>
      <c r="P39" s="57"/>
      <c r="Q39" s="57"/>
    </row>
    <row r="40" customFormat="false" ht="18" hidden="false" customHeight="true" outlineLevel="0" collapsed="false">
      <c r="A40" s="57"/>
      <c r="B40" s="83" t="s">
        <v>183</v>
      </c>
      <c r="C40" s="84" t="n">
        <v>3001</v>
      </c>
      <c r="D40" s="85" t="n">
        <f aca="false">C40-C39</f>
        <v>179</v>
      </c>
      <c r="E40" s="86" t="n">
        <f aca="false">IFERROR((C40-C39)/C39,0)</f>
        <v>0.0634301913536499</v>
      </c>
      <c r="F40" s="87" t="n">
        <v>5</v>
      </c>
      <c r="G40" s="84" t="n">
        <v>23500</v>
      </c>
      <c r="H40" s="84" t="n">
        <v>944</v>
      </c>
      <c r="I40" s="88" t="n">
        <f aca="false">IFERROR(H40/G40,0)</f>
        <v>0.0401702127659575</v>
      </c>
      <c r="J40" s="84" t="n">
        <v>500</v>
      </c>
      <c r="K40" s="84" t="n">
        <v>90</v>
      </c>
      <c r="L40" s="84" t="n">
        <v>45</v>
      </c>
      <c r="M40" s="84" t="n">
        <v>9200</v>
      </c>
      <c r="N40" s="83" t="s">
        <v>180</v>
      </c>
      <c r="O40" s="57"/>
      <c r="P40" s="57"/>
      <c r="Q40" s="57"/>
    </row>
    <row r="41" customFormat="false" ht="18" hidden="false" customHeight="true" outlineLevel="0" collapsed="false">
      <c r="A41" s="57"/>
      <c r="B41" s="77" t="s">
        <v>184</v>
      </c>
      <c r="C41" s="78" t="n">
        <v>3163</v>
      </c>
      <c r="D41" s="79" t="n">
        <f aca="false">C41-C40</f>
        <v>162</v>
      </c>
      <c r="E41" s="89" t="n">
        <f aca="false">IFERROR((C41-C40)/C40,0)</f>
        <v>0.0539820059980007</v>
      </c>
      <c r="F41" s="81" t="n">
        <v>4</v>
      </c>
      <c r="G41" s="78" t="n">
        <v>21060</v>
      </c>
      <c r="H41" s="78" t="n">
        <v>843</v>
      </c>
      <c r="I41" s="82" t="n">
        <f aca="false">IFERROR(H41/G41,0)</f>
        <v>0.04002849002849</v>
      </c>
      <c r="J41" s="78" t="n">
        <v>447</v>
      </c>
      <c r="K41" s="78" t="n">
        <v>80</v>
      </c>
      <c r="L41" s="78" t="n">
        <v>41</v>
      </c>
      <c r="M41" s="78" t="n">
        <v>8240</v>
      </c>
      <c r="N41" s="77" t="s">
        <v>180</v>
      </c>
      <c r="O41" s="57"/>
      <c r="P41" s="57"/>
      <c r="Q41" s="57"/>
    </row>
    <row r="42" customFormat="false" ht="18" hidden="false" customHeight="true" outlineLevel="0" collapsed="false">
      <c r="A42" s="57"/>
      <c r="B42" s="83" t="s">
        <v>185</v>
      </c>
      <c r="C42" s="84" t="n">
        <v>3309</v>
      </c>
      <c r="D42" s="85" t="n">
        <f aca="false">C42-C41</f>
        <v>146</v>
      </c>
      <c r="E42" s="86" t="n">
        <f aca="false">IFERROR((C42-C41)/C41,0)</f>
        <v>0.046158710085362</v>
      </c>
      <c r="F42" s="87" t="n">
        <v>4</v>
      </c>
      <c r="G42" s="84" t="n">
        <v>19060</v>
      </c>
      <c r="H42" s="84" t="n">
        <v>764</v>
      </c>
      <c r="I42" s="88" t="n">
        <f aca="false">IFERROR(H42/G42,0)</f>
        <v>0.0400839454354669</v>
      </c>
      <c r="J42" s="84" t="n">
        <v>405</v>
      </c>
      <c r="K42" s="84" t="n">
        <v>72</v>
      </c>
      <c r="L42" s="84" t="n">
        <v>36</v>
      </c>
      <c r="M42" s="84" t="n">
        <v>7460</v>
      </c>
      <c r="N42" s="83" t="s">
        <v>180</v>
      </c>
      <c r="O42" s="57"/>
      <c r="P42" s="57"/>
      <c r="Q42" s="57"/>
    </row>
    <row r="43" customFormat="false" ht="18" hidden="false" customHeight="true" outlineLevel="0" collapsed="false">
      <c r="A43" s="57"/>
      <c r="B43" s="77" t="s">
        <v>186</v>
      </c>
      <c r="C43" s="78" t="n">
        <v>3452</v>
      </c>
      <c r="D43" s="79" t="n">
        <f aca="false">C43-C42</f>
        <v>143</v>
      </c>
      <c r="E43" s="89" t="n">
        <f aca="false">IFERROR((C43-C42)/C42,0)</f>
        <v>0.0432154729525536</v>
      </c>
      <c r="F43" s="81" t="n">
        <v>4</v>
      </c>
      <c r="G43" s="78" t="n">
        <v>18680</v>
      </c>
      <c r="H43" s="78" t="n">
        <v>748</v>
      </c>
      <c r="I43" s="82" t="n">
        <f aca="false">IFERROR(H43/G43,0)</f>
        <v>0.0400428265524625</v>
      </c>
      <c r="J43" s="78" t="n">
        <v>397</v>
      </c>
      <c r="K43" s="78" t="n">
        <v>71</v>
      </c>
      <c r="L43" s="78" t="n">
        <v>36</v>
      </c>
      <c r="M43" s="78" t="n">
        <v>7300</v>
      </c>
      <c r="N43" s="77" t="s">
        <v>180</v>
      </c>
      <c r="O43" s="57"/>
      <c r="P43" s="57"/>
      <c r="Q43" s="57"/>
    </row>
    <row r="44" customFormat="false" ht="18" hidden="false" customHeight="true" outlineLevel="0" collapsed="false">
      <c r="A44" s="57"/>
      <c r="B44" s="83" t="s">
        <v>187</v>
      </c>
      <c r="C44" s="84" t="n">
        <v>3606</v>
      </c>
      <c r="D44" s="85" t="n">
        <f aca="false">C44-C43</f>
        <v>154</v>
      </c>
      <c r="E44" s="86" t="n">
        <f aca="false">IFERROR((C44-C43)/C43,0)</f>
        <v>0.044611819235226</v>
      </c>
      <c r="F44" s="87" t="n">
        <v>4</v>
      </c>
      <c r="G44" s="84" t="n">
        <v>20100</v>
      </c>
      <c r="H44" s="84" t="n">
        <v>806</v>
      </c>
      <c r="I44" s="88" t="n">
        <f aca="false">IFERROR(H44/G44,0)</f>
        <v>0.0400995024875622</v>
      </c>
      <c r="J44" s="84" t="n">
        <v>428</v>
      </c>
      <c r="K44" s="84" t="n">
        <v>76</v>
      </c>
      <c r="L44" s="84" t="n">
        <v>38</v>
      </c>
      <c r="M44" s="84" t="n">
        <v>7860</v>
      </c>
      <c r="N44" s="83" t="s">
        <v>180</v>
      </c>
      <c r="O44" s="57"/>
      <c r="P44" s="57"/>
      <c r="Q44" s="57"/>
    </row>
    <row r="45" customFormat="false" ht="18" hidden="false" customHeight="true" outlineLevel="0" collapsed="false">
      <c r="A45" s="57"/>
      <c r="B45" s="77" t="s">
        <v>188</v>
      </c>
      <c r="C45" s="78" t="n">
        <v>3762</v>
      </c>
      <c r="D45" s="79" t="n">
        <f aca="false">C45-C44</f>
        <v>156</v>
      </c>
      <c r="E45" s="89" t="n">
        <f aca="false">IFERROR((C45-C44)/C44,0)</f>
        <v>0.043261231281198</v>
      </c>
      <c r="F45" s="81" t="n">
        <v>4</v>
      </c>
      <c r="G45" s="78" t="n">
        <v>20420</v>
      </c>
      <c r="H45" s="78" t="n">
        <v>817</v>
      </c>
      <c r="I45" s="82" t="n">
        <f aca="false">IFERROR(H45/G45,0)</f>
        <v>0.0400097943192948</v>
      </c>
      <c r="J45" s="78" t="n">
        <v>433</v>
      </c>
      <c r="K45" s="78" t="n">
        <v>77</v>
      </c>
      <c r="L45" s="78" t="n">
        <v>40</v>
      </c>
      <c r="M45" s="78" t="n">
        <v>7980</v>
      </c>
      <c r="N45" s="77" t="s">
        <v>180</v>
      </c>
      <c r="O45" s="57"/>
      <c r="P45" s="57"/>
      <c r="Q45" s="57"/>
    </row>
    <row r="46" customFormat="false" ht="18" hidden="false" customHeight="true" outlineLevel="0" collapsed="false">
      <c r="A46" s="57"/>
      <c r="B46" s="83" t="s">
        <v>189</v>
      </c>
      <c r="C46" s="84" t="n">
        <v>3925</v>
      </c>
      <c r="D46" s="85" t="n">
        <f aca="false">C46-C45</f>
        <v>163</v>
      </c>
      <c r="E46" s="86" t="n">
        <f aca="false">IFERROR((C46-C45)/C45,0)</f>
        <v>0.0433280170122275</v>
      </c>
      <c r="F46" s="87" t="n">
        <v>4</v>
      </c>
      <c r="G46" s="84" t="n">
        <v>21180</v>
      </c>
      <c r="H46" s="84" t="n">
        <v>847</v>
      </c>
      <c r="I46" s="88" t="n">
        <f aca="false">IFERROR(H46/G46,0)</f>
        <v>0.0399905571293673</v>
      </c>
      <c r="J46" s="84" t="n">
        <v>450</v>
      </c>
      <c r="K46" s="84" t="n">
        <v>80</v>
      </c>
      <c r="L46" s="84" t="n">
        <v>41</v>
      </c>
      <c r="M46" s="84" t="n">
        <v>8280</v>
      </c>
      <c r="N46" s="83" t="s">
        <v>180</v>
      </c>
      <c r="O46" s="57"/>
      <c r="P46" s="57"/>
      <c r="Q46" s="57"/>
    </row>
    <row r="47" customFormat="false" ht="18" hidden="false" customHeight="true" outlineLevel="0" collapsed="false">
      <c r="A47" s="57"/>
      <c r="B47" s="77" t="s">
        <v>190</v>
      </c>
      <c r="C47" s="78" t="n">
        <v>4095</v>
      </c>
      <c r="D47" s="79" t="n">
        <f aca="false">C47-C46</f>
        <v>170</v>
      </c>
      <c r="E47" s="89" t="n">
        <f aca="false">IFERROR((C47-C46)/C46,0)</f>
        <v>0.043312101910828</v>
      </c>
      <c r="F47" s="81" t="n">
        <v>4</v>
      </c>
      <c r="G47" s="78" t="n">
        <v>22000</v>
      </c>
      <c r="H47" s="78" t="n">
        <v>880</v>
      </c>
      <c r="I47" s="82" t="n">
        <f aca="false">IFERROR(H47/G47,0)</f>
        <v>0.04</v>
      </c>
      <c r="J47" s="78" t="n">
        <v>466</v>
      </c>
      <c r="K47" s="78" t="n">
        <v>84</v>
      </c>
      <c r="L47" s="78" t="n">
        <v>43</v>
      </c>
      <c r="M47" s="78" t="n">
        <v>8600</v>
      </c>
      <c r="N47" s="77" t="s">
        <v>180</v>
      </c>
      <c r="O47" s="57"/>
      <c r="P47" s="57"/>
      <c r="Q47" s="57"/>
    </row>
    <row r="48" customFormat="false" ht="18" hidden="false" customHeight="true" outlineLevel="0" collapsed="false">
      <c r="A48" s="57"/>
      <c r="B48" s="83" t="s">
        <v>191</v>
      </c>
      <c r="C48" s="84" t="n">
        <v>4241</v>
      </c>
      <c r="D48" s="85" t="n">
        <f aca="false">C48-C47</f>
        <v>146</v>
      </c>
      <c r="E48" s="86" t="n">
        <f aca="false">IFERROR((C48-C47)/C47,0)</f>
        <v>0.0356532356532357</v>
      </c>
      <c r="F48" s="87" t="n">
        <v>4</v>
      </c>
      <c r="G48" s="84" t="n">
        <v>19100</v>
      </c>
      <c r="H48" s="84" t="n">
        <v>764</v>
      </c>
      <c r="I48" s="88" t="n">
        <f aca="false">IFERROR(H48/G48,0)</f>
        <v>0.04</v>
      </c>
      <c r="J48" s="84" t="n">
        <v>405</v>
      </c>
      <c r="K48" s="84" t="n">
        <v>72</v>
      </c>
      <c r="L48" s="84" t="n">
        <v>37</v>
      </c>
      <c r="M48" s="84" t="n">
        <v>7460</v>
      </c>
      <c r="N48" s="83" t="s">
        <v>180</v>
      </c>
      <c r="O48" s="57"/>
      <c r="P48" s="57"/>
      <c r="Q48" s="57"/>
    </row>
    <row r="49" customFormat="false" ht="18" hidden="false" customHeight="true" outlineLevel="0" collapsed="false">
      <c r="A49" s="57"/>
      <c r="B49" s="77" t="s">
        <v>192</v>
      </c>
      <c r="C49" s="78" t="n">
        <v>4401</v>
      </c>
      <c r="D49" s="79" t="n">
        <f aca="false">C49-C48</f>
        <v>160</v>
      </c>
      <c r="E49" s="89" t="n">
        <f aca="false">IFERROR((C49-C48)/C48,0)</f>
        <v>0.0377269511907569</v>
      </c>
      <c r="F49" s="81" t="n">
        <v>4</v>
      </c>
      <c r="G49" s="78" t="n">
        <v>20780</v>
      </c>
      <c r="H49" s="78" t="n">
        <v>832</v>
      </c>
      <c r="I49" s="82" t="n">
        <f aca="false">IFERROR(H49/G49,0)</f>
        <v>0.0400384985563041</v>
      </c>
      <c r="J49" s="78" t="n">
        <v>441</v>
      </c>
      <c r="K49" s="78" t="n">
        <v>79</v>
      </c>
      <c r="L49" s="78" t="n">
        <v>41</v>
      </c>
      <c r="M49" s="78" t="n">
        <v>8120</v>
      </c>
      <c r="N49" s="77" t="s">
        <v>180</v>
      </c>
      <c r="O49" s="57"/>
      <c r="P49" s="57"/>
      <c r="Q49" s="57"/>
    </row>
    <row r="50" customFormat="false" ht="18" hidden="false" customHeight="true" outlineLevel="0" collapsed="false">
      <c r="A50" s="57"/>
      <c r="B50" s="83" t="s">
        <v>193</v>
      </c>
      <c r="C50" s="84" t="n">
        <v>4674</v>
      </c>
      <c r="D50" s="85" t="n">
        <f aca="false">C50-C49</f>
        <v>273</v>
      </c>
      <c r="E50" s="86" t="n">
        <f aca="false">IFERROR((C50-C49)/C49,0)</f>
        <v>0.0620313565098841</v>
      </c>
      <c r="F50" s="87" t="n">
        <v>4</v>
      </c>
      <c r="G50" s="84" t="n">
        <v>40200</v>
      </c>
      <c r="H50" s="84" t="n">
        <v>1451</v>
      </c>
      <c r="I50" s="88" t="n">
        <f aca="false">IFERROR(H50/G50,0)</f>
        <v>0.0360945273631841</v>
      </c>
      <c r="J50" s="84" t="n">
        <v>786</v>
      </c>
      <c r="K50" s="84" t="n">
        <v>149</v>
      </c>
      <c r="L50" s="84" t="n">
        <v>63</v>
      </c>
      <c r="M50" s="84" t="n">
        <v>17740</v>
      </c>
      <c r="N50" s="83" t="s">
        <v>180</v>
      </c>
      <c r="O50" s="57"/>
      <c r="P50" s="57"/>
      <c r="Q50" s="57"/>
    </row>
    <row r="51" customFormat="false" ht="18" hidden="false" customHeight="true" outlineLevel="0" collapsed="false">
      <c r="A51" s="57"/>
      <c r="B51" s="77" t="s">
        <v>194</v>
      </c>
      <c r="C51" s="78" t="n">
        <v>4933</v>
      </c>
      <c r="D51" s="79" t="n">
        <f aca="false">C51-C50</f>
        <v>259</v>
      </c>
      <c r="E51" s="89" t="n">
        <f aca="false">IFERROR((C51-C50)/C50,0)</f>
        <v>0.0554129225502781</v>
      </c>
      <c r="F51" s="81" t="n">
        <v>5</v>
      </c>
      <c r="G51" s="78" t="n">
        <v>38860</v>
      </c>
      <c r="H51" s="78" t="n">
        <v>1417</v>
      </c>
      <c r="I51" s="82" t="n">
        <f aca="false">IFERROR(H51/G51,0)</f>
        <v>0.0364642305712815</v>
      </c>
      <c r="J51" s="78" t="n">
        <v>764</v>
      </c>
      <c r="K51" s="78" t="n">
        <v>141</v>
      </c>
      <c r="L51" s="78" t="n">
        <v>64</v>
      </c>
      <c r="M51" s="78" t="n">
        <v>15960</v>
      </c>
      <c r="N51" s="77" t="s">
        <v>180</v>
      </c>
      <c r="O51" s="57"/>
      <c r="P51" s="57"/>
      <c r="Q51" s="57"/>
    </row>
    <row r="52" customFormat="false" ht="18" hidden="false" customHeight="true" outlineLevel="0" collapsed="false">
      <c r="A52" s="57"/>
      <c r="B52" s="83" t="s">
        <v>195</v>
      </c>
      <c r="C52" s="84" t="n">
        <v>5090</v>
      </c>
      <c r="D52" s="85" t="n">
        <f aca="false">C52-C51</f>
        <v>157</v>
      </c>
      <c r="E52" s="86" t="n">
        <f aca="false">IFERROR((C52-C51)/C51,0)</f>
        <v>0.0318264747618082</v>
      </c>
      <c r="F52" s="87" t="n">
        <v>4</v>
      </c>
      <c r="G52" s="84" t="n">
        <v>20460</v>
      </c>
      <c r="H52" s="84" t="n">
        <v>816</v>
      </c>
      <c r="I52" s="88" t="n">
        <f aca="false">IFERROR(H52/G52,0)</f>
        <v>0.0398826979472141</v>
      </c>
      <c r="J52" s="84" t="n">
        <v>434</v>
      </c>
      <c r="K52" s="84" t="n">
        <v>77</v>
      </c>
      <c r="L52" s="84" t="n">
        <v>38</v>
      </c>
      <c r="M52" s="84" t="n">
        <v>8000</v>
      </c>
      <c r="N52" s="83" t="s">
        <v>180</v>
      </c>
      <c r="O52" s="57"/>
      <c r="P52" s="57"/>
      <c r="Q52" s="57"/>
    </row>
    <row r="53" customFormat="false" ht="18" hidden="false" customHeight="true" outlineLevel="0" collapsed="false">
      <c r="A53" s="57"/>
      <c r="B53" s="77" t="s">
        <v>196</v>
      </c>
      <c r="C53" s="78" t="n">
        <v>5257</v>
      </c>
      <c r="D53" s="79" t="n">
        <f aca="false">C53-C52</f>
        <v>167</v>
      </c>
      <c r="E53" s="89" t="n">
        <f aca="false">IFERROR((C53-C52)/C52,0)</f>
        <v>0.0328094302554028</v>
      </c>
      <c r="F53" s="81" t="n">
        <v>4</v>
      </c>
      <c r="G53" s="78" t="n">
        <v>21620</v>
      </c>
      <c r="H53" s="78" t="n">
        <v>866</v>
      </c>
      <c r="I53" s="82" t="n">
        <f aca="false">IFERROR(H53/G53,0)</f>
        <v>0.0400555041628122</v>
      </c>
      <c r="J53" s="78" t="n">
        <v>459</v>
      </c>
      <c r="K53" s="78" t="n">
        <v>82</v>
      </c>
      <c r="L53" s="78" t="n">
        <v>42</v>
      </c>
      <c r="M53" s="78" t="n">
        <v>8460</v>
      </c>
      <c r="N53" s="77" t="s">
        <v>180</v>
      </c>
      <c r="O53" s="57"/>
      <c r="P53" s="57"/>
      <c r="Q53" s="57"/>
    </row>
    <row r="54" customFormat="false" ht="18" hidden="false" customHeight="true" outlineLevel="0" collapsed="false">
      <c r="A54" s="57"/>
      <c r="B54" s="83" t="s">
        <v>197</v>
      </c>
      <c r="C54" s="84" t="n">
        <v>5424</v>
      </c>
      <c r="D54" s="85" t="n">
        <f aca="false">C54-C53</f>
        <v>167</v>
      </c>
      <c r="E54" s="86" t="n">
        <f aca="false">IFERROR((C54-C53)/C53,0)</f>
        <v>0.0317671675860757</v>
      </c>
      <c r="F54" s="87" t="n">
        <v>4</v>
      </c>
      <c r="G54" s="84" t="n">
        <v>21860</v>
      </c>
      <c r="H54" s="84" t="n">
        <v>875</v>
      </c>
      <c r="I54" s="88" t="n">
        <f aca="false">IFERROR(H54/G54,0)</f>
        <v>0.0400274473924977</v>
      </c>
      <c r="J54" s="84" t="n">
        <v>463</v>
      </c>
      <c r="K54" s="84" t="n">
        <v>83</v>
      </c>
      <c r="L54" s="84" t="n">
        <v>43</v>
      </c>
      <c r="M54" s="84" t="n">
        <v>8540</v>
      </c>
      <c r="N54" s="83" t="s">
        <v>180</v>
      </c>
      <c r="O54" s="57"/>
      <c r="P54" s="57"/>
      <c r="Q54" s="57"/>
    </row>
    <row r="55" customFormat="false" ht="18" hidden="false" customHeight="true" outlineLevel="0" collapsed="false">
      <c r="A55" s="57"/>
      <c r="B55" s="77" t="s">
        <v>198</v>
      </c>
      <c r="C55" s="78" t="n">
        <v>5596</v>
      </c>
      <c r="D55" s="79" t="n">
        <f aca="false">C55-C54</f>
        <v>172</v>
      </c>
      <c r="E55" s="89" t="n">
        <f aca="false">IFERROR((C55-C54)/C54,0)</f>
        <v>0.0317109144542773</v>
      </c>
      <c r="F55" s="81" t="n">
        <v>4</v>
      </c>
      <c r="G55" s="78" t="n">
        <v>22360</v>
      </c>
      <c r="H55" s="78" t="n">
        <v>894</v>
      </c>
      <c r="I55" s="82" t="n">
        <f aca="false">IFERROR(H55/G55,0)</f>
        <v>0.0399821109123435</v>
      </c>
      <c r="J55" s="78" t="n">
        <v>474</v>
      </c>
      <c r="K55" s="78" t="n">
        <v>84</v>
      </c>
      <c r="L55" s="78" t="n">
        <v>43</v>
      </c>
      <c r="M55" s="78" t="n">
        <v>8740</v>
      </c>
      <c r="N55" s="77" t="s">
        <v>180</v>
      </c>
      <c r="O55" s="57"/>
      <c r="P55" s="57"/>
      <c r="Q55" s="57"/>
    </row>
    <row r="56" customFormat="false" ht="18" hidden="false" customHeight="true" outlineLevel="0" collapsed="false">
      <c r="A56" s="57"/>
      <c r="B56" s="83" t="s">
        <v>199</v>
      </c>
      <c r="C56" s="84" t="n">
        <v>5772</v>
      </c>
      <c r="D56" s="85" t="n">
        <f aca="false">C56-C55</f>
        <v>176</v>
      </c>
      <c r="E56" s="86" t="n">
        <f aca="false">IFERROR((C56-C55)/C55,0)</f>
        <v>0.0314510364546104</v>
      </c>
      <c r="F56" s="87" t="n">
        <v>4</v>
      </c>
      <c r="G56" s="84" t="n">
        <v>22920</v>
      </c>
      <c r="H56" s="84" t="n">
        <v>916</v>
      </c>
      <c r="I56" s="88" t="n">
        <f aca="false">IFERROR(H56/G56,0)</f>
        <v>0.0399650959860384</v>
      </c>
      <c r="J56" s="84" t="n">
        <v>486</v>
      </c>
      <c r="K56" s="84" t="n">
        <v>86</v>
      </c>
      <c r="L56" s="84" t="n">
        <v>45</v>
      </c>
      <c r="M56" s="84" t="n">
        <v>8960</v>
      </c>
      <c r="N56" s="83" t="s">
        <v>180</v>
      </c>
      <c r="O56" s="57"/>
      <c r="P56" s="57"/>
      <c r="Q56" s="57"/>
    </row>
    <row r="57" customFormat="false" ht="18" hidden="false" customHeight="true" outlineLevel="0" collapsed="false">
      <c r="A57" s="57"/>
      <c r="B57" s="77" t="s">
        <v>200</v>
      </c>
      <c r="C57" s="78" t="n">
        <v>5980</v>
      </c>
      <c r="D57" s="79" t="n">
        <f aca="false">C57-C56</f>
        <v>208</v>
      </c>
      <c r="E57" s="89" t="n">
        <f aca="false">IFERROR((C57-C56)/C56,0)</f>
        <v>0.036036036036036</v>
      </c>
      <c r="F57" s="81" t="n">
        <v>5</v>
      </c>
      <c r="G57" s="78" t="n">
        <v>27240</v>
      </c>
      <c r="H57" s="78" t="n">
        <v>1090</v>
      </c>
      <c r="I57" s="82" t="n">
        <f aca="false">IFERROR(H57/G57,0)</f>
        <v>0.040014684287812</v>
      </c>
      <c r="J57" s="78" t="n">
        <v>578</v>
      </c>
      <c r="K57" s="78" t="n">
        <v>102</v>
      </c>
      <c r="L57" s="78" t="n">
        <v>54</v>
      </c>
      <c r="M57" s="78" t="n">
        <v>10640</v>
      </c>
      <c r="N57" s="77" t="s">
        <v>180</v>
      </c>
      <c r="O57" s="57"/>
      <c r="P57" s="57"/>
      <c r="Q57" s="57"/>
    </row>
    <row r="58" customFormat="false" ht="18" hidden="false" customHeight="true" outlineLevel="0" collapsed="false">
      <c r="A58" s="57"/>
      <c r="B58" s="83" t="s">
        <v>201</v>
      </c>
      <c r="C58" s="84" t="n">
        <v>6156</v>
      </c>
      <c r="D58" s="85" t="n">
        <f aca="false">C58-C57</f>
        <v>176</v>
      </c>
      <c r="E58" s="86" t="n">
        <f aca="false">IFERROR((C58-C57)/C57,0)</f>
        <v>0.0294314381270903</v>
      </c>
      <c r="F58" s="87" t="n">
        <v>4</v>
      </c>
      <c r="G58" s="84" t="n">
        <v>22780</v>
      </c>
      <c r="H58" s="84" t="n">
        <v>910</v>
      </c>
      <c r="I58" s="88" t="n">
        <f aca="false">IFERROR(H58/G58,0)</f>
        <v>0.0399473222124671</v>
      </c>
      <c r="J58" s="84" t="n">
        <v>483</v>
      </c>
      <c r="K58" s="84" t="n">
        <v>86</v>
      </c>
      <c r="L58" s="84" t="n">
        <v>44</v>
      </c>
      <c r="M58" s="84" t="n">
        <v>8900</v>
      </c>
      <c r="N58" s="83" t="s">
        <v>180</v>
      </c>
      <c r="O58" s="57"/>
      <c r="P58" s="57"/>
      <c r="Q58" s="57"/>
    </row>
    <row r="59" customFormat="false" ht="18" hidden="false" customHeight="true" outlineLevel="0" collapsed="false">
      <c r="A59" s="57"/>
      <c r="B59" s="77" t="s">
        <v>61</v>
      </c>
      <c r="C59" s="78" t="n">
        <v>6334</v>
      </c>
      <c r="D59" s="79" t="n">
        <f aca="false">C59-C58</f>
        <v>178</v>
      </c>
      <c r="E59" s="89" t="n">
        <f aca="false">IFERROR((C59-C58)/C58,0)</f>
        <v>0.0289148797920728</v>
      </c>
      <c r="F59" s="81" t="n">
        <v>4</v>
      </c>
      <c r="G59" s="78" t="n">
        <v>23240</v>
      </c>
      <c r="H59" s="78" t="n">
        <v>928</v>
      </c>
      <c r="I59" s="82" t="n">
        <f aca="false">IFERROR(H59/G59,0)</f>
        <v>0.0399311531841652</v>
      </c>
      <c r="J59" s="78" t="n">
        <v>492</v>
      </c>
      <c r="K59" s="78" t="n">
        <v>87</v>
      </c>
      <c r="L59" s="78" t="n">
        <v>45</v>
      </c>
      <c r="M59" s="78" t="n">
        <v>9080</v>
      </c>
      <c r="N59" s="77" t="s">
        <v>180</v>
      </c>
      <c r="O59" s="57"/>
      <c r="P59" s="57"/>
      <c r="Q59" s="57"/>
    </row>
    <row r="60" customFormat="false" ht="18" hidden="false" customHeight="true" outlineLevel="0" collapsed="false">
      <c r="A60" s="57"/>
      <c r="B60" s="83" t="s">
        <v>62</v>
      </c>
      <c r="C60" s="84" t="n">
        <v>6500</v>
      </c>
      <c r="D60" s="85" t="n">
        <f aca="false">C60-C59</f>
        <v>166</v>
      </c>
      <c r="E60" s="86" t="n">
        <f aca="false">IFERROR((C60-C59)/C59,0)</f>
        <v>0.0262077676034102</v>
      </c>
      <c r="F60" s="87" t="n">
        <v>4</v>
      </c>
      <c r="G60" s="84" t="n">
        <v>21860</v>
      </c>
      <c r="H60" s="84" t="n">
        <v>873</v>
      </c>
      <c r="I60" s="88" t="n">
        <f aca="false">IFERROR(H60/G60,0)</f>
        <v>0.039935956084172</v>
      </c>
      <c r="J60" s="84" t="n">
        <v>463</v>
      </c>
      <c r="K60" s="84" t="n">
        <v>82</v>
      </c>
      <c r="L60" s="84" t="n">
        <v>42</v>
      </c>
      <c r="M60" s="84" t="n">
        <v>8540</v>
      </c>
      <c r="N60" s="83" t="s">
        <v>180</v>
      </c>
      <c r="O60" s="57"/>
      <c r="P60" s="57"/>
      <c r="Q60" s="57"/>
    </row>
    <row r="61" customFormat="false" ht="18" hidden="false" customHeight="true" outlineLevel="0" collapsed="false">
      <c r="A61" s="57"/>
      <c r="B61" s="77" t="s">
        <v>63</v>
      </c>
      <c r="C61" s="78" t="n">
        <v>6677</v>
      </c>
      <c r="D61" s="79" t="n">
        <f aca="false">C61-C60</f>
        <v>177</v>
      </c>
      <c r="E61" s="89" t="n">
        <f aca="false">IFERROR((C61-C60)/C60,0)</f>
        <v>0.0272307692307692</v>
      </c>
      <c r="F61" s="81" t="n">
        <v>4</v>
      </c>
      <c r="G61" s="78" t="n">
        <v>22980</v>
      </c>
      <c r="H61" s="78" t="n">
        <v>917</v>
      </c>
      <c r="I61" s="82" t="n">
        <f aca="false">IFERROR(H61/G61,0)</f>
        <v>0.0399042645778938</v>
      </c>
      <c r="J61" s="78" t="n">
        <v>486</v>
      </c>
      <c r="K61" s="78" t="n">
        <v>86</v>
      </c>
      <c r="L61" s="78" t="n">
        <v>45</v>
      </c>
      <c r="M61" s="78" t="n">
        <v>8980</v>
      </c>
      <c r="N61" s="77" t="s">
        <v>180</v>
      </c>
      <c r="O61" s="57"/>
      <c r="P61" s="57"/>
      <c r="Q61" s="57"/>
    </row>
    <row r="62" customFormat="false" ht="18" hidden="false" customHeight="true" outlineLevel="0" collapsed="false">
      <c r="A62" s="57"/>
      <c r="B62" s="83" t="s">
        <v>64</v>
      </c>
      <c r="C62" s="84" t="n">
        <v>6855</v>
      </c>
      <c r="D62" s="85" t="n">
        <f aca="false">C62-C61</f>
        <v>178</v>
      </c>
      <c r="E62" s="86" t="n">
        <f aca="false">IFERROR((C62-C61)/C61,0)</f>
        <v>0.0266586790474764</v>
      </c>
      <c r="F62" s="87" t="n">
        <v>4</v>
      </c>
      <c r="G62" s="84" t="n">
        <v>23200</v>
      </c>
      <c r="H62" s="84" t="n">
        <v>925</v>
      </c>
      <c r="I62" s="88" t="n">
        <f aca="false">IFERROR(H62/G62,0)</f>
        <v>0.0398706896551724</v>
      </c>
      <c r="J62" s="84" t="n">
        <v>491</v>
      </c>
      <c r="K62" s="84" t="n">
        <v>87</v>
      </c>
      <c r="L62" s="84" t="n">
        <v>45</v>
      </c>
      <c r="M62" s="84" t="n">
        <v>9060</v>
      </c>
      <c r="N62" s="83" t="s">
        <v>180</v>
      </c>
      <c r="O62" s="57"/>
      <c r="P62" s="57"/>
      <c r="Q62" s="57"/>
    </row>
    <row r="63" customFormat="false" ht="18" hidden="false" customHeight="true" outlineLevel="0" collapsed="false">
      <c r="A63" s="57"/>
      <c r="B63" s="77" t="s">
        <v>65</v>
      </c>
      <c r="C63" s="78" t="n">
        <v>7073</v>
      </c>
      <c r="D63" s="79" t="n">
        <f aca="false">C63-C62</f>
        <v>218</v>
      </c>
      <c r="E63" s="89" t="n">
        <f aca="false">IFERROR((C63-C62)/C62,0)</f>
        <v>0.0318016046681255</v>
      </c>
      <c r="F63" s="81" t="n">
        <v>5</v>
      </c>
      <c r="G63" s="78" t="n">
        <v>28620</v>
      </c>
      <c r="H63" s="78" t="n">
        <v>1142</v>
      </c>
      <c r="I63" s="82" t="n">
        <f aca="false">IFERROR(H63/G63,0)</f>
        <v>0.0399021663172607</v>
      </c>
      <c r="J63" s="78" t="n">
        <v>606</v>
      </c>
      <c r="K63" s="78" t="n">
        <v>108</v>
      </c>
      <c r="L63" s="78" t="n">
        <v>55</v>
      </c>
      <c r="M63" s="78" t="n">
        <v>11180</v>
      </c>
      <c r="N63" s="77" t="s">
        <v>180</v>
      </c>
      <c r="O63" s="57"/>
      <c r="P63" s="57"/>
      <c r="Q63" s="57"/>
    </row>
    <row r="64" customFormat="false" ht="18" hidden="false" customHeight="true" outlineLevel="0" collapsed="false">
      <c r="A64" s="57"/>
      <c r="B64" s="83" t="s">
        <v>66</v>
      </c>
      <c r="C64" s="84" t="n">
        <v>7250</v>
      </c>
      <c r="D64" s="85" t="n">
        <f aca="false">C64-C63</f>
        <v>177</v>
      </c>
      <c r="E64" s="86" t="n">
        <f aca="false">IFERROR((C64-C63)/C63,0)</f>
        <v>0.0250247419765305</v>
      </c>
      <c r="F64" s="87" t="n">
        <v>4</v>
      </c>
      <c r="G64" s="84" t="n">
        <v>23140</v>
      </c>
      <c r="H64" s="84" t="n">
        <v>925</v>
      </c>
      <c r="I64" s="88" t="n">
        <f aca="false">IFERROR(H64/G64,0)</f>
        <v>0.0399740708729473</v>
      </c>
      <c r="J64" s="84" t="n">
        <v>490</v>
      </c>
      <c r="K64" s="84" t="n">
        <v>87</v>
      </c>
      <c r="L64" s="84" t="n">
        <v>45</v>
      </c>
      <c r="M64" s="84" t="n">
        <v>9040</v>
      </c>
      <c r="N64" s="83" t="s">
        <v>180</v>
      </c>
      <c r="O64" s="57"/>
      <c r="P64" s="57"/>
      <c r="Q64" s="57"/>
    </row>
    <row r="65" customFormat="false" ht="15" hidden="false" customHeight="false" outlineLevel="0" collapsed="false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customFormat="false" ht="24" hidden="false" customHeight="true" outlineLevel="0" collapsed="false">
      <c r="A66" s="57"/>
      <c r="B66" s="91" t="s">
        <v>203</v>
      </c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57"/>
      <c r="P66" s="57"/>
      <c r="Q66" s="57"/>
    </row>
    <row r="67" customFormat="false" ht="19.5" hidden="false" customHeight="true" outlineLevel="0" collapsed="false">
      <c r="A67" s="57"/>
      <c r="B67" s="40" t="s">
        <v>170</v>
      </c>
      <c r="C67" s="40" t="s">
        <v>4</v>
      </c>
      <c r="D67" s="40" t="s">
        <v>171</v>
      </c>
      <c r="E67" s="40" t="s">
        <v>172</v>
      </c>
      <c r="F67" s="40" t="s">
        <v>173</v>
      </c>
      <c r="G67" s="40" t="s">
        <v>79</v>
      </c>
      <c r="H67" s="40" t="s">
        <v>174</v>
      </c>
      <c r="I67" s="40" t="s">
        <v>175</v>
      </c>
      <c r="J67" s="40" t="s">
        <v>176</v>
      </c>
      <c r="K67" s="40" t="s">
        <v>81</v>
      </c>
      <c r="L67" s="40" t="s">
        <v>82</v>
      </c>
      <c r="M67" s="40" t="s">
        <v>177</v>
      </c>
      <c r="N67" s="40" t="s">
        <v>178</v>
      </c>
      <c r="O67" s="57"/>
      <c r="P67" s="57"/>
      <c r="Q67" s="57"/>
    </row>
    <row r="68" customFormat="false" ht="18" hidden="false" customHeight="true" outlineLevel="0" collapsed="false">
      <c r="A68" s="57"/>
      <c r="B68" s="77" t="s">
        <v>179</v>
      </c>
      <c r="C68" s="78" t="n">
        <v>940</v>
      </c>
      <c r="D68" s="79"/>
      <c r="E68" s="80"/>
      <c r="F68" s="81" t="n">
        <v>2</v>
      </c>
      <c r="G68" s="78" t="n">
        <v>1316</v>
      </c>
      <c r="H68" s="78" t="n">
        <v>15</v>
      </c>
      <c r="I68" s="82" t="n">
        <f aca="false">IFERROR(H68/G68,0)</f>
        <v>0.0113981762917933</v>
      </c>
      <c r="J68" s="78" t="n">
        <v>6</v>
      </c>
      <c r="K68" s="78" t="n">
        <v>2</v>
      </c>
      <c r="L68" s="78" t="n">
        <v>3</v>
      </c>
      <c r="M68" s="78" t="n">
        <v>0</v>
      </c>
      <c r="N68" s="77" t="s">
        <v>204</v>
      </c>
      <c r="O68" s="57"/>
      <c r="P68" s="57"/>
      <c r="Q68" s="57"/>
    </row>
    <row r="69" customFormat="false" ht="18" hidden="false" customHeight="true" outlineLevel="0" collapsed="false">
      <c r="A69" s="57"/>
      <c r="B69" s="83" t="s">
        <v>181</v>
      </c>
      <c r="C69" s="84" t="n">
        <v>960</v>
      </c>
      <c r="D69" s="85" t="n">
        <f aca="false">C69-C68</f>
        <v>20</v>
      </c>
      <c r="E69" s="86" t="n">
        <f aca="false">IFERROR((C69-C68)/C68,0)</f>
        <v>0.0212765957446809</v>
      </c>
      <c r="F69" s="87" t="n">
        <v>2</v>
      </c>
      <c r="G69" s="84" t="n">
        <v>1344</v>
      </c>
      <c r="H69" s="84" t="n">
        <v>16</v>
      </c>
      <c r="I69" s="88" t="n">
        <f aca="false">IFERROR(H69/G69,0)</f>
        <v>0.0119047619047619</v>
      </c>
      <c r="J69" s="84" t="n">
        <v>6</v>
      </c>
      <c r="K69" s="84" t="n">
        <v>2</v>
      </c>
      <c r="L69" s="84" t="n">
        <v>4</v>
      </c>
      <c r="M69" s="84" t="n">
        <v>0</v>
      </c>
      <c r="N69" s="83" t="s">
        <v>204</v>
      </c>
      <c r="O69" s="57"/>
      <c r="P69" s="57"/>
      <c r="Q69" s="57"/>
    </row>
    <row r="70" customFormat="false" ht="18" hidden="false" customHeight="true" outlineLevel="0" collapsed="false">
      <c r="A70" s="57"/>
      <c r="B70" s="77" t="s">
        <v>182</v>
      </c>
      <c r="C70" s="78" t="n">
        <v>978</v>
      </c>
      <c r="D70" s="79" t="n">
        <f aca="false">C70-C69</f>
        <v>18</v>
      </c>
      <c r="E70" s="89" t="n">
        <f aca="false">IFERROR((C70-C69)/C69,0)</f>
        <v>0.01875</v>
      </c>
      <c r="F70" s="81" t="n">
        <v>2</v>
      </c>
      <c r="G70" s="78" t="n">
        <v>1369</v>
      </c>
      <c r="H70" s="78" t="n">
        <v>16</v>
      </c>
      <c r="I70" s="82" t="n">
        <f aca="false">IFERROR(H70/G70,0)</f>
        <v>0.0116873630387144</v>
      </c>
      <c r="J70" s="78" t="n">
        <v>6</v>
      </c>
      <c r="K70" s="78" t="n">
        <v>2</v>
      </c>
      <c r="L70" s="78" t="n">
        <v>4</v>
      </c>
      <c r="M70" s="78" t="n">
        <v>0</v>
      </c>
      <c r="N70" s="77" t="s">
        <v>204</v>
      </c>
      <c r="O70" s="57"/>
      <c r="P70" s="57"/>
      <c r="Q70" s="57"/>
    </row>
    <row r="71" customFormat="false" ht="18" hidden="false" customHeight="true" outlineLevel="0" collapsed="false">
      <c r="A71" s="57"/>
      <c r="B71" s="83" t="s">
        <v>183</v>
      </c>
      <c r="C71" s="84" t="n">
        <v>994</v>
      </c>
      <c r="D71" s="85" t="n">
        <f aca="false">C71-C70</f>
        <v>16</v>
      </c>
      <c r="E71" s="86" t="n">
        <f aca="false">IFERROR((C71-C70)/C70,0)</f>
        <v>0.016359918200409</v>
      </c>
      <c r="F71" s="87" t="n">
        <v>2</v>
      </c>
      <c r="G71" s="84" t="n">
        <v>1391</v>
      </c>
      <c r="H71" s="84" t="n">
        <v>16</v>
      </c>
      <c r="I71" s="88" t="n">
        <f aca="false">IFERROR(H71/G71,0)</f>
        <v>0.0115025161754134</v>
      </c>
      <c r="J71" s="84" t="n">
        <v>6</v>
      </c>
      <c r="K71" s="84" t="n">
        <v>2</v>
      </c>
      <c r="L71" s="84" t="n">
        <v>4</v>
      </c>
      <c r="M71" s="84" t="n">
        <v>0</v>
      </c>
      <c r="N71" s="83" t="s">
        <v>204</v>
      </c>
      <c r="O71" s="57"/>
      <c r="P71" s="57"/>
      <c r="Q71" s="57"/>
    </row>
    <row r="72" customFormat="false" ht="18" hidden="false" customHeight="true" outlineLevel="0" collapsed="false">
      <c r="A72" s="57"/>
      <c r="B72" s="77" t="s">
        <v>184</v>
      </c>
      <c r="C72" s="78" t="n">
        <v>1010</v>
      </c>
      <c r="D72" s="79" t="n">
        <f aca="false">C72-C71</f>
        <v>16</v>
      </c>
      <c r="E72" s="89" t="n">
        <f aca="false">IFERROR((C72-C71)/C71,0)</f>
        <v>0.0160965794768612</v>
      </c>
      <c r="F72" s="81" t="n">
        <v>2</v>
      </c>
      <c r="G72" s="78" t="n">
        <v>1414</v>
      </c>
      <c r="H72" s="78" t="n">
        <v>16</v>
      </c>
      <c r="I72" s="82" t="n">
        <f aca="false">IFERROR(H72/G72,0)</f>
        <v>0.0113154172560113</v>
      </c>
      <c r="J72" s="78" t="n">
        <v>6</v>
      </c>
      <c r="K72" s="78" t="n">
        <v>2</v>
      </c>
      <c r="L72" s="78" t="n">
        <v>4</v>
      </c>
      <c r="M72" s="78" t="n">
        <v>0</v>
      </c>
      <c r="N72" s="77" t="s">
        <v>204</v>
      </c>
      <c r="O72" s="57"/>
      <c r="P72" s="57"/>
      <c r="Q72" s="57"/>
    </row>
    <row r="73" customFormat="false" ht="18" hidden="false" customHeight="true" outlineLevel="0" collapsed="false">
      <c r="A73" s="57"/>
      <c r="B73" s="83" t="s">
        <v>185</v>
      </c>
      <c r="C73" s="84" t="n">
        <v>1024</v>
      </c>
      <c r="D73" s="85" t="n">
        <f aca="false">C73-C72</f>
        <v>14</v>
      </c>
      <c r="E73" s="86" t="n">
        <f aca="false">IFERROR((C73-C72)/C72,0)</f>
        <v>0.0138613861386139</v>
      </c>
      <c r="F73" s="87" t="n">
        <v>2</v>
      </c>
      <c r="G73" s="84" t="n">
        <v>1433</v>
      </c>
      <c r="H73" s="84" t="n">
        <v>17</v>
      </c>
      <c r="I73" s="88" t="n">
        <f aca="false">IFERROR(H73/G73,0)</f>
        <v>0.0118632240055827</v>
      </c>
      <c r="J73" s="84" t="n">
        <v>7</v>
      </c>
      <c r="K73" s="84" t="n">
        <v>2</v>
      </c>
      <c r="L73" s="84" t="n">
        <v>4</v>
      </c>
      <c r="M73" s="84" t="n">
        <v>0</v>
      </c>
      <c r="N73" s="83" t="s">
        <v>204</v>
      </c>
      <c r="O73" s="57"/>
      <c r="P73" s="57"/>
      <c r="Q73" s="57"/>
    </row>
    <row r="74" customFormat="false" ht="18" hidden="false" customHeight="true" outlineLevel="0" collapsed="false">
      <c r="A74" s="57"/>
      <c r="B74" s="77" t="s">
        <v>186</v>
      </c>
      <c r="C74" s="78" t="n">
        <v>1038</v>
      </c>
      <c r="D74" s="79" t="n">
        <f aca="false">C74-C73</f>
        <v>14</v>
      </c>
      <c r="E74" s="89" t="n">
        <f aca="false">IFERROR((C74-C73)/C73,0)</f>
        <v>0.013671875</v>
      </c>
      <c r="F74" s="81" t="n">
        <v>2</v>
      </c>
      <c r="G74" s="78" t="n">
        <v>1453</v>
      </c>
      <c r="H74" s="78" t="n">
        <v>17</v>
      </c>
      <c r="I74" s="82" t="n">
        <f aca="false">IFERROR(H74/G74,0)</f>
        <v>0.0116999311768754</v>
      </c>
      <c r="J74" s="78" t="n">
        <v>7</v>
      </c>
      <c r="K74" s="78" t="n">
        <v>2</v>
      </c>
      <c r="L74" s="78" t="n">
        <v>4</v>
      </c>
      <c r="M74" s="78" t="n">
        <v>0</v>
      </c>
      <c r="N74" s="77" t="s">
        <v>204</v>
      </c>
      <c r="O74" s="57"/>
      <c r="P74" s="57"/>
      <c r="Q74" s="57"/>
    </row>
    <row r="75" customFormat="false" ht="18" hidden="false" customHeight="true" outlineLevel="0" collapsed="false">
      <c r="A75" s="57"/>
      <c r="B75" s="83" t="s">
        <v>187</v>
      </c>
      <c r="C75" s="84" t="n">
        <v>1050</v>
      </c>
      <c r="D75" s="85" t="n">
        <f aca="false">C75-C74</f>
        <v>12</v>
      </c>
      <c r="E75" s="86" t="n">
        <f aca="false">IFERROR((C75-C74)/C74,0)</f>
        <v>0.0115606936416185</v>
      </c>
      <c r="F75" s="87" t="n">
        <v>2</v>
      </c>
      <c r="G75" s="84" t="n">
        <v>1470</v>
      </c>
      <c r="H75" s="84" t="n">
        <v>17</v>
      </c>
      <c r="I75" s="88" t="n">
        <f aca="false">IFERROR(H75/G75,0)</f>
        <v>0.0115646258503401</v>
      </c>
      <c r="J75" s="84" t="n">
        <v>7</v>
      </c>
      <c r="K75" s="84" t="n">
        <v>2</v>
      </c>
      <c r="L75" s="84" t="n">
        <v>4</v>
      </c>
      <c r="M75" s="84" t="n">
        <v>0</v>
      </c>
      <c r="N75" s="83" t="s">
        <v>204</v>
      </c>
      <c r="O75" s="57"/>
      <c r="P75" s="57"/>
      <c r="Q75" s="57"/>
    </row>
    <row r="76" customFormat="false" ht="18" hidden="false" customHeight="true" outlineLevel="0" collapsed="false">
      <c r="A76" s="57"/>
      <c r="B76" s="77" t="s">
        <v>188</v>
      </c>
      <c r="C76" s="78" t="n">
        <v>1062</v>
      </c>
      <c r="D76" s="79" t="n">
        <f aca="false">C76-C75</f>
        <v>12</v>
      </c>
      <c r="E76" s="89" t="n">
        <f aca="false">IFERROR((C76-C75)/C75,0)</f>
        <v>0.0114285714285714</v>
      </c>
      <c r="F76" s="81" t="n">
        <v>2</v>
      </c>
      <c r="G76" s="78" t="n">
        <v>1486</v>
      </c>
      <c r="H76" s="78" t="n">
        <v>17</v>
      </c>
      <c r="I76" s="82" t="n">
        <f aca="false">IFERROR(H76/G76,0)</f>
        <v>0.0114401076716016</v>
      </c>
      <c r="J76" s="78" t="n">
        <v>7</v>
      </c>
      <c r="K76" s="78" t="n">
        <v>2</v>
      </c>
      <c r="L76" s="78" t="n">
        <v>4</v>
      </c>
      <c r="M76" s="78" t="n">
        <v>0</v>
      </c>
      <c r="N76" s="77" t="s">
        <v>204</v>
      </c>
      <c r="O76" s="57"/>
      <c r="P76" s="57"/>
      <c r="Q76" s="57"/>
    </row>
    <row r="77" customFormat="false" ht="18" hidden="false" customHeight="true" outlineLevel="0" collapsed="false">
      <c r="A77" s="57"/>
      <c r="B77" s="83" t="s">
        <v>189</v>
      </c>
      <c r="C77" s="84" t="n">
        <v>1072</v>
      </c>
      <c r="D77" s="85" t="n">
        <f aca="false">C77-C76</f>
        <v>10</v>
      </c>
      <c r="E77" s="86" t="n">
        <f aca="false">IFERROR((C77-C76)/C76,0)</f>
        <v>0.00941619585687382</v>
      </c>
      <c r="F77" s="87" t="n">
        <v>2</v>
      </c>
      <c r="G77" s="84" t="n">
        <v>1500</v>
      </c>
      <c r="H77" s="84" t="n">
        <v>18</v>
      </c>
      <c r="I77" s="88" t="n">
        <f aca="false">IFERROR(H77/G77,0)</f>
        <v>0.012</v>
      </c>
      <c r="J77" s="84" t="n">
        <v>7</v>
      </c>
      <c r="K77" s="84" t="n">
        <v>2</v>
      </c>
      <c r="L77" s="84" t="n">
        <v>4</v>
      </c>
      <c r="M77" s="84" t="n">
        <v>0</v>
      </c>
      <c r="N77" s="83" t="s">
        <v>204</v>
      </c>
      <c r="O77" s="57"/>
      <c r="P77" s="57"/>
      <c r="Q77" s="57"/>
    </row>
    <row r="78" customFormat="false" ht="18" hidden="false" customHeight="true" outlineLevel="0" collapsed="false">
      <c r="A78" s="57"/>
      <c r="B78" s="77" t="s">
        <v>190</v>
      </c>
      <c r="C78" s="78" t="n">
        <v>1082</v>
      </c>
      <c r="D78" s="79" t="n">
        <f aca="false">C78-C77</f>
        <v>10</v>
      </c>
      <c r="E78" s="89" t="n">
        <f aca="false">IFERROR((C78-C77)/C77,0)</f>
        <v>0.00932835820895522</v>
      </c>
      <c r="F78" s="81" t="n">
        <v>2</v>
      </c>
      <c r="G78" s="78" t="n">
        <v>1514</v>
      </c>
      <c r="H78" s="78" t="n">
        <v>18</v>
      </c>
      <c r="I78" s="82" t="n">
        <f aca="false">IFERROR(H78/G78,0)</f>
        <v>0.011889035667107</v>
      </c>
      <c r="J78" s="78" t="n">
        <v>7</v>
      </c>
      <c r="K78" s="78" t="n">
        <v>2</v>
      </c>
      <c r="L78" s="78" t="n">
        <v>4</v>
      </c>
      <c r="M78" s="78" t="n">
        <v>0</v>
      </c>
      <c r="N78" s="77" t="s">
        <v>204</v>
      </c>
      <c r="O78" s="57"/>
      <c r="P78" s="57"/>
      <c r="Q78" s="57"/>
    </row>
    <row r="79" customFormat="false" ht="18" hidden="false" customHeight="true" outlineLevel="0" collapsed="false">
      <c r="A79" s="57"/>
      <c r="B79" s="83" t="s">
        <v>191</v>
      </c>
      <c r="C79" s="84" t="n">
        <v>1092</v>
      </c>
      <c r="D79" s="85" t="n">
        <f aca="false">C79-C78</f>
        <v>10</v>
      </c>
      <c r="E79" s="86" t="n">
        <f aca="false">IFERROR((C79-C78)/C78,0)</f>
        <v>0.00924214417744917</v>
      </c>
      <c r="F79" s="87" t="n">
        <v>2</v>
      </c>
      <c r="G79" s="84" t="n">
        <v>1528</v>
      </c>
      <c r="H79" s="84" t="n">
        <v>18</v>
      </c>
      <c r="I79" s="88" t="n">
        <f aca="false">IFERROR(H79/G79,0)</f>
        <v>0.0117801047120419</v>
      </c>
      <c r="J79" s="84" t="n">
        <v>7</v>
      </c>
      <c r="K79" s="84" t="n">
        <v>2</v>
      </c>
      <c r="L79" s="84" t="n">
        <v>4</v>
      </c>
      <c r="M79" s="84" t="n">
        <v>0</v>
      </c>
      <c r="N79" s="83" t="s">
        <v>204</v>
      </c>
      <c r="O79" s="57"/>
      <c r="P79" s="57"/>
      <c r="Q79" s="57"/>
    </row>
    <row r="80" customFormat="false" ht="18" hidden="false" customHeight="true" outlineLevel="0" collapsed="false">
      <c r="A80" s="57"/>
      <c r="B80" s="77" t="s">
        <v>192</v>
      </c>
      <c r="C80" s="78" t="n">
        <v>1100</v>
      </c>
      <c r="D80" s="79" t="n">
        <f aca="false">C80-C79</f>
        <v>8</v>
      </c>
      <c r="E80" s="89" t="n">
        <f aca="false">IFERROR((C80-C79)/C79,0)</f>
        <v>0.00732600732600733</v>
      </c>
      <c r="F80" s="81" t="n">
        <v>2</v>
      </c>
      <c r="G80" s="78" t="n">
        <v>1540</v>
      </c>
      <c r="H80" s="78" t="n">
        <v>18</v>
      </c>
      <c r="I80" s="82" t="n">
        <f aca="false">IFERROR(H80/G80,0)</f>
        <v>0.0116883116883117</v>
      </c>
      <c r="J80" s="78" t="n">
        <v>7</v>
      </c>
      <c r="K80" s="78" t="n">
        <v>2</v>
      </c>
      <c r="L80" s="78" t="n">
        <v>4</v>
      </c>
      <c r="M80" s="78" t="n">
        <v>0</v>
      </c>
      <c r="N80" s="77" t="s">
        <v>204</v>
      </c>
      <c r="O80" s="57"/>
      <c r="P80" s="57"/>
      <c r="Q80" s="57"/>
    </row>
    <row r="81" customFormat="false" ht="18" hidden="false" customHeight="true" outlineLevel="0" collapsed="false">
      <c r="A81" s="57"/>
      <c r="B81" s="83" t="s">
        <v>193</v>
      </c>
      <c r="C81" s="84" t="n">
        <v>1108</v>
      </c>
      <c r="D81" s="85" t="n">
        <f aca="false">C81-C80</f>
        <v>8</v>
      </c>
      <c r="E81" s="86" t="n">
        <f aca="false">IFERROR((C81-C80)/C80,0)</f>
        <v>0.00727272727272727</v>
      </c>
      <c r="F81" s="87" t="n">
        <v>2</v>
      </c>
      <c r="G81" s="84" t="n">
        <v>1551</v>
      </c>
      <c r="H81" s="84" t="n">
        <v>18</v>
      </c>
      <c r="I81" s="88" t="n">
        <f aca="false">IFERROR(H81/G81,0)</f>
        <v>0.011605415860735</v>
      </c>
      <c r="J81" s="84" t="n">
        <v>7</v>
      </c>
      <c r="K81" s="84" t="n">
        <v>2</v>
      </c>
      <c r="L81" s="84" t="n">
        <v>4</v>
      </c>
      <c r="M81" s="84" t="n">
        <v>0</v>
      </c>
      <c r="N81" s="83" t="s">
        <v>204</v>
      </c>
      <c r="O81" s="57"/>
      <c r="P81" s="57"/>
      <c r="Q81" s="57"/>
    </row>
    <row r="82" customFormat="false" ht="18" hidden="false" customHeight="true" outlineLevel="0" collapsed="false">
      <c r="A82" s="57"/>
      <c r="B82" s="77" t="s">
        <v>194</v>
      </c>
      <c r="C82" s="78" t="n">
        <v>1118</v>
      </c>
      <c r="D82" s="79" t="n">
        <f aca="false">C82-C81</f>
        <v>10</v>
      </c>
      <c r="E82" s="89" t="n">
        <f aca="false">IFERROR((C82-C81)/C81,0)</f>
        <v>0.00902527075812274</v>
      </c>
      <c r="F82" s="81" t="n">
        <v>2</v>
      </c>
      <c r="G82" s="78" t="n">
        <v>1565</v>
      </c>
      <c r="H82" s="78" t="n">
        <v>18</v>
      </c>
      <c r="I82" s="82" t="n">
        <f aca="false">IFERROR(H82/G82,0)</f>
        <v>0.0115015974440895</v>
      </c>
      <c r="J82" s="78" t="n">
        <v>7</v>
      </c>
      <c r="K82" s="78" t="n">
        <v>2</v>
      </c>
      <c r="L82" s="78" t="n">
        <v>4</v>
      </c>
      <c r="M82" s="78" t="n">
        <v>0</v>
      </c>
      <c r="N82" s="77" t="s">
        <v>204</v>
      </c>
      <c r="O82" s="57"/>
      <c r="P82" s="57"/>
      <c r="Q82" s="57"/>
    </row>
    <row r="83" customFormat="false" ht="18" hidden="false" customHeight="true" outlineLevel="0" collapsed="false">
      <c r="A83" s="57"/>
      <c r="B83" s="83" t="s">
        <v>195</v>
      </c>
      <c r="C83" s="84" t="n">
        <v>1128</v>
      </c>
      <c r="D83" s="85" t="n">
        <f aca="false">C83-C82</f>
        <v>10</v>
      </c>
      <c r="E83" s="86" t="n">
        <f aca="false">IFERROR((C83-C82)/C82,0)</f>
        <v>0.00894454382826476</v>
      </c>
      <c r="F83" s="87" t="n">
        <v>2</v>
      </c>
      <c r="G83" s="84" t="n">
        <v>1579</v>
      </c>
      <c r="H83" s="84" t="n">
        <v>18</v>
      </c>
      <c r="I83" s="88" t="n">
        <f aca="false">IFERROR(H83/G83,0)</f>
        <v>0.0113996200126662</v>
      </c>
      <c r="J83" s="84" t="n">
        <v>7</v>
      </c>
      <c r="K83" s="84" t="n">
        <v>2</v>
      </c>
      <c r="L83" s="84" t="n">
        <v>4</v>
      </c>
      <c r="M83" s="84" t="n">
        <v>0</v>
      </c>
      <c r="N83" s="83" t="s">
        <v>204</v>
      </c>
      <c r="O83" s="57"/>
      <c r="P83" s="57"/>
      <c r="Q83" s="57"/>
    </row>
    <row r="84" customFormat="false" ht="18" hidden="false" customHeight="true" outlineLevel="0" collapsed="false">
      <c r="A84" s="57"/>
      <c r="B84" s="77" t="s">
        <v>196</v>
      </c>
      <c r="C84" s="78" t="n">
        <v>1140</v>
      </c>
      <c r="D84" s="79" t="n">
        <f aca="false">C84-C83</f>
        <v>12</v>
      </c>
      <c r="E84" s="89" t="n">
        <f aca="false">IFERROR((C84-C83)/C83,0)</f>
        <v>0.0106382978723404</v>
      </c>
      <c r="F84" s="81" t="n">
        <v>2</v>
      </c>
      <c r="G84" s="78" t="n">
        <v>1596</v>
      </c>
      <c r="H84" s="78" t="n">
        <v>19</v>
      </c>
      <c r="I84" s="82" t="n">
        <f aca="false">IFERROR(H84/G84,0)</f>
        <v>0.0119047619047619</v>
      </c>
      <c r="J84" s="78" t="n">
        <v>8</v>
      </c>
      <c r="K84" s="78" t="n">
        <v>2</v>
      </c>
      <c r="L84" s="78" t="n">
        <v>4</v>
      </c>
      <c r="M84" s="78" t="n">
        <v>0</v>
      </c>
      <c r="N84" s="77" t="s">
        <v>204</v>
      </c>
      <c r="O84" s="57"/>
      <c r="P84" s="57"/>
      <c r="Q84" s="57"/>
    </row>
    <row r="85" customFormat="false" ht="18" hidden="false" customHeight="true" outlineLevel="0" collapsed="false">
      <c r="A85" s="57"/>
      <c r="B85" s="83" t="s">
        <v>197</v>
      </c>
      <c r="C85" s="84" t="n">
        <v>1150</v>
      </c>
      <c r="D85" s="85" t="n">
        <f aca="false">C85-C84</f>
        <v>10</v>
      </c>
      <c r="E85" s="86" t="n">
        <f aca="false">IFERROR((C85-C84)/C84,0)</f>
        <v>0.0087719298245614</v>
      </c>
      <c r="F85" s="87" t="n">
        <v>2</v>
      </c>
      <c r="G85" s="84" t="n">
        <v>1610</v>
      </c>
      <c r="H85" s="84" t="n">
        <v>19</v>
      </c>
      <c r="I85" s="88" t="n">
        <f aca="false">IFERROR(H85/G85,0)</f>
        <v>0.0118012422360248</v>
      </c>
      <c r="J85" s="84" t="n">
        <v>8</v>
      </c>
      <c r="K85" s="84" t="n">
        <v>2</v>
      </c>
      <c r="L85" s="84" t="n">
        <v>4</v>
      </c>
      <c r="M85" s="84" t="n">
        <v>0</v>
      </c>
      <c r="N85" s="83" t="s">
        <v>204</v>
      </c>
      <c r="O85" s="57"/>
      <c r="P85" s="57"/>
      <c r="Q85" s="57"/>
    </row>
    <row r="86" customFormat="false" ht="18" hidden="false" customHeight="true" outlineLevel="0" collapsed="false">
      <c r="A86" s="57"/>
      <c r="B86" s="77" t="s">
        <v>198</v>
      </c>
      <c r="C86" s="78" t="n">
        <v>1162</v>
      </c>
      <c r="D86" s="79" t="n">
        <f aca="false">C86-C85</f>
        <v>12</v>
      </c>
      <c r="E86" s="89" t="n">
        <f aca="false">IFERROR((C86-C85)/C85,0)</f>
        <v>0.0104347826086957</v>
      </c>
      <c r="F86" s="81" t="n">
        <v>2</v>
      </c>
      <c r="G86" s="78" t="n">
        <v>1626</v>
      </c>
      <c r="H86" s="78" t="n">
        <v>19</v>
      </c>
      <c r="I86" s="82" t="n">
        <f aca="false">IFERROR(H86/G86,0)</f>
        <v>0.0116851168511685</v>
      </c>
      <c r="J86" s="78" t="n">
        <v>8</v>
      </c>
      <c r="K86" s="78" t="n">
        <v>2</v>
      </c>
      <c r="L86" s="78" t="n">
        <v>4</v>
      </c>
      <c r="M86" s="78" t="n">
        <v>0</v>
      </c>
      <c r="N86" s="77" t="s">
        <v>204</v>
      </c>
      <c r="O86" s="57"/>
      <c r="P86" s="57"/>
      <c r="Q86" s="57"/>
    </row>
    <row r="87" customFormat="false" ht="18" hidden="false" customHeight="true" outlineLevel="0" collapsed="false">
      <c r="A87" s="57"/>
      <c r="B87" s="83" t="s">
        <v>199</v>
      </c>
      <c r="C87" s="84" t="n">
        <v>1175</v>
      </c>
      <c r="D87" s="85" t="n">
        <f aca="false">C87-C86</f>
        <v>13</v>
      </c>
      <c r="E87" s="86" t="n">
        <f aca="false">IFERROR((C87-C86)/C86,0)</f>
        <v>0.0111876075731497</v>
      </c>
      <c r="F87" s="87" t="n">
        <v>2</v>
      </c>
      <c r="G87" s="84" t="n">
        <v>1645</v>
      </c>
      <c r="H87" s="84" t="n">
        <v>19</v>
      </c>
      <c r="I87" s="88" t="n">
        <f aca="false">IFERROR(H87/G87,0)</f>
        <v>0.0115501519756839</v>
      </c>
      <c r="J87" s="84" t="n">
        <v>8</v>
      </c>
      <c r="K87" s="84" t="n">
        <v>2</v>
      </c>
      <c r="L87" s="84" t="n">
        <v>4</v>
      </c>
      <c r="M87" s="84" t="n">
        <v>0</v>
      </c>
      <c r="N87" s="83" t="s">
        <v>204</v>
      </c>
      <c r="O87" s="57"/>
      <c r="P87" s="57"/>
      <c r="Q87" s="57"/>
    </row>
    <row r="88" customFormat="false" ht="18" hidden="false" customHeight="true" outlineLevel="0" collapsed="false">
      <c r="A88" s="57"/>
      <c r="B88" s="77" t="s">
        <v>200</v>
      </c>
      <c r="C88" s="78" t="n">
        <v>1190</v>
      </c>
      <c r="D88" s="79" t="n">
        <f aca="false">C88-C87</f>
        <v>15</v>
      </c>
      <c r="E88" s="89" t="n">
        <f aca="false">IFERROR((C88-C87)/C87,0)</f>
        <v>0.0127659574468085</v>
      </c>
      <c r="F88" s="81" t="n">
        <v>2</v>
      </c>
      <c r="G88" s="78" t="n">
        <v>1666</v>
      </c>
      <c r="H88" s="78" t="n">
        <v>19</v>
      </c>
      <c r="I88" s="82" t="n">
        <f aca="false">IFERROR(H88/G88,0)</f>
        <v>0.0114045618247299</v>
      </c>
      <c r="J88" s="78" t="n">
        <v>8</v>
      </c>
      <c r="K88" s="78" t="n">
        <v>2</v>
      </c>
      <c r="L88" s="78" t="n">
        <v>4</v>
      </c>
      <c r="M88" s="78" t="n">
        <v>0</v>
      </c>
      <c r="N88" s="77" t="s">
        <v>204</v>
      </c>
      <c r="O88" s="57"/>
      <c r="P88" s="57"/>
      <c r="Q88" s="57"/>
    </row>
    <row r="89" customFormat="false" ht="18" hidden="false" customHeight="true" outlineLevel="0" collapsed="false">
      <c r="A89" s="57"/>
      <c r="B89" s="83" t="s">
        <v>201</v>
      </c>
      <c r="C89" s="84" t="n">
        <v>1207</v>
      </c>
      <c r="D89" s="85" t="n">
        <f aca="false">C89-C88</f>
        <v>17</v>
      </c>
      <c r="E89" s="86" t="n">
        <f aca="false">IFERROR((C89-C88)/C88,0)</f>
        <v>0.0142857142857143</v>
      </c>
      <c r="F89" s="87" t="n">
        <v>2</v>
      </c>
      <c r="G89" s="84" t="n">
        <v>1689</v>
      </c>
      <c r="H89" s="84" t="n">
        <v>20</v>
      </c>
      <c r="I89" s="88" t="n">
        <f aca="false">IFERROR(H89/G89,0)</f>
        <v>0.0118413262285376</v>
      </c>
      <c r="J89" s="84" t="n">
        <v>9</v>
      </c>
      <c r="K89" s="84" t="n">
        <v>3</v>
      </c>
      <c r="L89" s="84" t="n">
        <v>5</v>
      </c>
      <c r="M89" s="84" t="n">
        <v>0</v>
      </c>
      <c r="N89" s="83" t="s">
        <v>204</v>
      </c>
      <c r="O89" s="57"/>
      <c r="P89" s="57"/>
      <c r="Q89" s="57"/>
    </row>
    <row r="90" customFormat="false" ht="18" hidden="false" customHeight="true" outlineLevel="0" collapsed="false">
      <c r="A90" s="57"/>
      <c r="B90" s="77" t="s">
        <v>61</v>
      </c>
      <c r="C90" s="78" t="n">
        <v>1220</v>
      </c>
      <c r="D90" s="79" t="n">
        <f aca="false">C90-C89</f>
        <v>13</v>
      </c>
      <c r="E90" s="89" t="n">
        <f aca="false">IFERROR((C90-C89)/C89,0)</f>
        <v>0.0107705053852527</v>
      </c>
      <c r="F90" s="81" t="n">
        <v>2</v>
      </c>
      <c r="G90" s="78" t="n">
        <v>1708</v>
      </c>
      <c r="H90" s="78" t="n">
        <v>20</v>
      </c>
      <c r="I90" s="82" t="n">
        <f aca="false">IFERROR(H90/G90,0)</f>
        <v>0.0117096018735363</v>
      </c>
      <c r="J90" s="78" t="n">
        <v>9</v>
      </c>
      <c r="K90" s="78" t="n">
        <v>3</v>
      </c>
      <c r="L90" s="78" t="n">
        <v>5</v>
      </c>
      <c r="M90" s="78" t="n">
        <v>0</v>
      </c>
      <c r="N90" s="77" t="s">
        <v>204</v>
      </c>
      <c r="O90" s="57"/>
      <c r="P90" s="57"/>
      <c r="Q90" s="57"/>
    </row>
    <row r="91" customFormat="false" ht="18" hidden="false" customHeight="true" outlineLevel="0" collapsed="false">
      <c r="A91" s="57"/>
      <c r="B91" s="83" t="s">
        <v>62</v>
      </c>
      <c r="C91" s="84" t="n">
        <v>1235</v>
      </c>
      <c r="D91" s="85" t="n">
        <f aca="false">C91-C90</f>
        <v>15</v>
      </c>
      <c r="E91" s="86" t="n">
        <f aca="false">IFERROR((C91-C90)/C90,0)</f>
        <v>0.0122950819672131</v>
      </c>
      <c r="F91" s="87" t="n">
        <v>2</v>
      </c>
      <c r="G91" s="84" t="n">
        <v>1729</v>
      </c>
      <c r="H91" s="84" t="n">
        <v>20</v>
      </c>
      <c r="I91" s="88" t="n">
        <f aca="false">IFERROR(H91/G91,0)</f>
        <v>0.0115673799884326</v>
      </c>
      <c r="J91" s="84" t="n">
        <v>9</v>
      </c>
      <c r="K91" s="84" t="n">
        <v>3</v>
      </c>
      <c r="L91" s="84" t="n">
        <v>5</v>
      </c>
      <c r="M91" s="84" t="n">
        <v>0</v>
      </c>
      <c r="N91" s="83" t="s">
        <v>204</v>
      </c>
      <c r="O91" s="57"/>
      <c r="P91" s="57"/>
      <c r="Q91" s="57"/>
    </row>
    <row r="92" customFormat="false" ht="18" hidden="false" customHeight="true" outlineLevel="0" collapsed="false">
      <c r="A92" s="57"/>
      <c r="B92" s="77" t="s">
        <v>63</v>
      </c>
      <c r="C92" s="78" t="n">
        <v>1250</v>
      </c>
      <c r="D92" s="79" t="n">
        <f aca="false">C92-C91</f>
        <v>15</v>
      </c>
      <c r="E92" s="89" t="n">
        <f aca="false">IFERROR((C92-C91)/C91,0)</f>
        <v>0.0121457489878543</v>
      </c>
      <c r="F92" s="81" t="n">
        <v>2</v>
      </c>
      <c r="G92" s="78" t="n">
        <v>1750</v>
      </c>
      <c r="H92" s="78" t="n">
        <v>21</v>
      </c>
      <c r="I92" s="82" t="n">
        <f aca="false">IFERROR(H92/G92,0)</f>
        <v>0.012</v>
      </c>
      <c r="J92" s="78" t="n">
        <v>9</v>
      </c>
      <c r="K92" s="78" t="n">
        <v>3</v>
      </c>
      <c r="L92" s="78" t="n">
        <v>5</v>
      </c>
      <c r="M92" s="78" t="n">
        <v>0</v>
      </c>
      <c r="N92" s="77" t="s">
        <v>204</v>
      </c>
      <c r="O92" s="57"/>
      <c r="P92" s="57"/>
      <c r="Q92" s="57"/>
    </row>
    <row r="93" customFormat="false" ht="18" hidden="false" customHeight="true" outlineLevel="0" collapsed="false">
      <c r="A93" s="57"/>
      <c r="B93" s="83" t="s">
        <v>64</v>
      </c>
      <c r="C93" s="84" t="n">
        <v>1265</v>
      </c>
      <c r="D93" s="85" t="n">
        <f aca="false">C93-C92</f>
        <v>15</v>
      </c>
      <c r="E93" s="86" t="n">
        <f aca="false">IFERROR((C93-C92)/C92,0)</f>
        <v>0.012</v>
      </c>
      <c r="F93" s="87" t="n">
        <v>2</v>
      </c>
      <c r="G93" s="84" t="n">
        <v>1771</v>
      </c>
      <c r="H93" s="84" t="n">
        <v>21</v>
      </c>
      <c r="I93" s="88" t="n">
        <f aca="false">IFERROR(H93/G93,0)</f>
        <v>0.0118577075098814</v>
      </c>
      <c r="J93" s="84" t="n">
        <v>9</v>
      </c>
      <c r="K93" s="84" t="n">
        <v>3</v>
      </c>
      <c r="L93" s="84" t="n">
        <v>5</v>
      </c>
      <c r="M93" s="84" t="n">
        <v>0</v>
      </c>
      <c r="N93" s="83" t="s">
        <v>204</v>
      </c>
      <c r="O93" s="57"/>
      <c r="P93" s="57"/>
      <c r="Q93" s="57"/>
    </row>
    <row r="94" customFormat="false" ht="18" hidden="false" customHeight="true" outlineLevel="0" collapsed="false">
      <c r="A94" s="57"/>
      <c r="B94" s="77" t="s">
        <v>65</v>
      </c>
      <c r="C94" s="78" t="n">
        <v>1278</v>
      </c>
      <c r="D94" s="79" t="n">
        <f aca="false">C94-C93</f>
        <v>13</v>
      </c>
      <c r="E94" s="89" t="n">
        <f aca="false">IFERROR((C94-C93)/C93,0)</f>
        <v>0.0102766798418972</v>
      </c>
      <c r="F94" s="81" t="n">
        <v>2</v>
      </c>
      <c r="G94" s="78" t="n">
        <v>1789</v>
      </c>
      <c r="H94" s="78" t="n">
        <v>21</v>
      </c>
      <c r="I94" s="82" t="n">
        <f aca="false">IFERROR(H94/G94,0)</f>
        <v>0.0117384013415316</v>
      </c>
      <c r="J94" s="78" t="n">
        <v>9</v>
      </c>
      <c r="K94" s="78" t="n">
        <v>3</v>
      </c>
      <c r="L94" s="78" t="n">
        <v>5</v>
      </c>
      <c r="M94" s="78" t="n">
        <v>0</v>
      </c>
      <c r="N94" s="77" t="s">
        <v>204</v>
      </c>
      <c r="O94" s="57"/>
      <c r="P94" s="57"/>
      <c r="Q94" s="57"/>
    </row>
    <row r="95" customFormat="false" ht="18" hidden="false" customHeight="true" outlineLevel="0" collapsed="false">
      <c r="A95" s="57"/>
      <c r="B95" s="83" t="s">
        <v>66</v>
      </c>
      <c r="C95" s="84" t="n">
        <v>1290</v>
      </c>
      <c r="D95" s="85" t="n">
        <f aca="false">C95-C94</f>
        <v>12</v>
      </c>
      <c r="E95" s="86" t="n">
        <f aca="false">IFERROR((C95-C94)/C94,0)</f>
        <v>0.00938967136150235</v>
      </c>
      <c r="F95" s="87" t="n">
        <v>2</v>
      </c>
      <c r="G95" s="84" t="n">
        <v>1805</v>
      </c>
      <c r="H95" s="84" t="n">
        <v>21</v>
      </c>
      <c r="I95" s="88" t="n">
        <f aca="false">IFERROR(H95/G95,0)</f>
        <v>0.0116343490304709</v>
      </c>
      <c r="J95" s="84" t="n">
        <v>9</v>
      </c>
      <c r="K95" s="84" t="n">
        <v>3</v>
      </c>
      <c r="L95" s="84" t="n">
        <v>5</v>
      </c>
      <c r="M95" s="84" t="n">
        <v>0</v>
      </c>
      <c r="N95" s="83" t="s">
        <v>204</v>
      </c>
      <c r="O95" s="57"/>
      <c r="P95" s="57"/>
      <c r="Q95" s="57"/>
    </row>
    <row r="96" customFormat="false" ht="15" hidden="false" customHeight="false" outlineLevel="0" collapsed="false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</row>
    <row r="97" customFormat="false" ht="24" hidden="false" customHeight="true" outlineLevel="0" collapsed="false">
      <c r="A97" s="57"/>
      <c r="B97" s="92" t="s">
        <v>205</v>
      </c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57"/>
      <c r="P97" s="57"/>
      <c r="Q97" s="57"/>
    </row>
    <row r="98" customFormat="false" ht="19.5" hidden="false" customHeight="true" outlineLevel="0" collapsed="false">
      <c r="A98" s="57"/>
      <c r="B98" s="40" t="s">
        <v>170</v>
      </c>
      <c r="C98" s="40" t="s">
        <v>4</v>
      </c>
      <c r="D98" s="40" t="s">
        <v>171</v>
      </c>
      <c r="E98" s="40" t="s">
        <v>172</v>
      </c>
      <c r="F98" s="40" t="s">
        <v>173</v>
      </c>
      <c r="G98" s="40" t="s">
        <v>79</v>
      </c>
      <c r="H98" s="40" t="s">
        <v>174</v>
      </c>
      <c r="I98" s="40" t="s">
        <v>175</v>
      </c>
      <c r="J98" s="40" t="s">
        <v>176</v>
      </c>
      <c r="K98" s="40" t="s">
        <v>81</v>
      </c>
      <c r="L98" s="40" t="s">
        <v>82</v>
      </c>
      <c r="M98" s="40" t="s">
        <v>177</v>
      </c>
      <c r="N98" s="40" t="s">
        <v>178</v>
      </c>
      <c r="O98" s="57"/>
      <c r="P98" s="57"/>
      <c r="Q98" s="57"/>
    </row>
    <row r="99" customFormat="false" ht="18" hidden="false" customHeight="true" outlineLevel="0" collapsed="false">
      <c r="A99" s="57"/>
      <c r="B99" s="77" t="s">
        <v>179</v>
      </c>
      <c r="C99" s="78" t="n">
        <v>3200</v>
      </c>
      <c r="D99" s="79"/>
      <c r="E99" s="80"/>
      <c r="F99" s="81" t="n">
        <v>2</v>
      </c>
      <c r="G99" s="78" t="n">
        <v>6800</v>
      </c>
      <c r="H99" s="78" t="n">
        <v>323</v>
      </c>
      <c r="I99" s="82" t="n">
        <f aca="false">IFERROR(H99/G99,0)</f>
        <v>0.0475</v>
      </c>
      <c r="J99" s="78" t="n">
        <v>213</v>
      </c>
      <c r="K99" s="78" t="n">
        <v>38</v>
      </c>
      <c r="L99" s="78" t="n">
        <v>0</v>
      </c>
      <c r="M99" s="78" t="n">
        <v>0</v>
      </c>
      <c r="N99" s="77" t="s">
        <v>180</v>
      </c>
      <c r="O99" s="57"/>
      <c r="P99" s="57"/>
      <c r="Q99" s="57"/>
    </row>
    <row r="100" customFormat="false" ht="18" hidden="false" customHeight="true" outlineLevel="0" collapsed="false">
      <c r="A100" s="57"/>
      <c r="B100" s="83" t="s">
        <v>181</v>
      </c>
      <c r="C100" s="84" t="n">
        <v>3320</v>
      </c>
      <c r="D100" s="85" t="n">
        <f aca="false">C100-C99</f>
        <v>120</v>
      </c>
      <c r="E100" s="86" t="n">
        <f aca="false">IFERROR((C100-C99)/C99,0)</f>
        <v>0.0375</v>
      </c>
      <c r="F100" s="87" t="n">
        <v>2</v>
      </c>
      <c r="G100" s="84" t="n">
        <v>7200</v>
      </c>
      <c r="H100" s="84" t="n">
        <v>343</v>
      </c>
      <c r="I100" s="88" t="n">
        <f aca="false">IFERROR(H100/G100,0)</f>
        <v>0.0476388888888889</v>
      </c>
      <c r="J100" s="84" t="n">
        <v>226</v>
      </c>
      <c r="K100" s="84" t="n">
        <v>41</v>
      </c>
      <c r="L100" s="84" t="n">
        <v>0</v>
      </c>
      <c r="M100" s="84" t="n">
        <v>0</v>
      </c>
      <c r="N100" s="83" t="s">
        <v>180</v>
      </c>
      <c r="O100" s="57"/>
      <c r="P100" s="57"/>
      <c r="Q100" s="57"/>
    </row>
    <row r="101" customFormat="false" ht="18" hidden="false" customHeight="true" outlineLevel="0" collapsed="false">
      <c r="A101" s="57"/>
      <c r="B101" s="77" t="s">
        <v>182</v>
      </c>
      <c r="C101" s="78" t="n">
        <v>3450</v>
      </c>
      <c r="D101" s="79" t="n">
        <f aca="false">C101-C100</f>
        <v>130</v>
      </c>
      <c r="E101" s="89" t="n">
        <f aca="false">IFERROR((C101-C100)/C100,0)</f>
        <v>0.0391566265060241</v>
      </c>
      <c r="F101" s="81" t="n">
        <v>2</v>
      </c>
      <c r="G101" s="78" t="n">
        <v>8400</v>
      </c>
      <c r="H101" s="78" t="n">
        <v>402</v>
      </c>
      <c r="I101" s="82" t="n">
        <f aca="false">IFERROR(H101/G101,0)</f>
        <v>0.0478571428571429</v>
      </c>
      <c r="J101" s="78" t="n">
        <v>265</v>
      </c>
      <c r="K101" s="78" t="n">
        <v>48</v>
      </c>
      <c r="L101" s="78" t="n">
        <v>0</v>
      </c>
      <c r="M101" s="78" t="n">
        <v>0</v>
      </c>
      <c r="N101" s="77" t="s">
        <v>180</v>
      </c>
      <c r="O101" s="57"/>
      <c r="P101" s="57"/>
      <c r="Q101" s="57"/>
    </row>
    <row r="102" customFormat="false" ht="18" hidden="false" customHeight="true" outlineLevel="0" collapsed="false">
      <c r="A102" s="57"/>
      <c r="B102" s="83" t="s">
        <v>183</v>
      </c>
      <c r="C102" s="84" t="n">
        <v>3580</v>
      </c>
      <c r="D102" s="85" t="n">
        <f aca="false">C102-C101</f>
        <v>130</v>
      </c>
      <c r="E102" s="86" t="n">
        <f aca="false">IFERROR((C102-C101)/C101,0)</f>
        <v>0.0376811594202899</v>
      </c>
      <c r="F102" s="87" t="n">
        <v>2</v>
      </c>
      <c r="G102" s="84" t="n">
        <v>7600</v>
      </c>
      <c r="H102" s="84" t="n">
        <v>363</v>
      </c>
      <c r="I102" s="88" t="n">
        <f aca="false">IFERROR(H102/G102,0)</f>
        <v>0.0477631578947368</v>
      </c>
      <c r="J102" s="84" t="n">
        <v>240</v>
      </c>
      <c r="K102" s="84" t="n">
        <v>43</v>
      </c>
      <c r="L102" s="84" t="n">
        <v>0</v>
      </c>
      <c r="M102" s="84" t="n">
        <v>0</v>
      </c>
      <c r="N102" s="83" t="s">
        <v>180</v>
      </c>
      <c r="O102" s="57"/>
      <c r="P102" s="57"/>
      <c r="Q102" s="57"/>
    </row>
    <row r="103" customFormat="false" ht="18" hidden="false" customHeight="true" outlineLevel="0" collapsed="false">
      <c r="A103" s="57"/>
      <c r="B103" s="77" t="s">
        <v>184</v>
      </c>
      <c r="C103" s="78" t="n">
        <v>3700</v>
      </c>
      <c r="D103" s="79" t="n">
        <f aca="false">C103-C102</f>
        <v>120</v>
      </c>
      <c r="E103" s="89" t="n">
        <f aca="false">IFERROR((C103-C102)/C102,0)</f>
        <v>0.0335195530726257</v>
      </c>
      <c r="F103" s="81" t="n">
        <v>2</v>
      </c>
      <c r="G103" s="78" t="n">
        <v>9200</v>
      </c>
      <c r="H103" s="78" t="n">
        <v>440</v>
      </c>
      <c r="I103" s="82" t="n">
        <f aca="false">IFERROR(H103/G103,0)</f>
        <v>0.0478260869565217</v>
      </c>
      <c r="J103" s="78" t="n">
        <v>291</v>
      </c>
      <c r="K103" s="78" t="n">
        <v>52</v>
      </c>
      <c r="L103" s="78" t="n">
        <v>0</v>
      </c>
      <c r="M103" s="78" t="n">
        <v>0</v>
      </c>
      <c r="N103" s="77" t="s">
        <v>180</v>
      </c>
      <c r="O103" s="57"/>
      <c r="P103" s="57"/>
      <c r="Q103" s="57"/>
    </row>
    <row r="104" customFormat="false" ht="18" hidden="false" customHeight="true" outlineLevel="0" collapsed="false">
      <c r="A104" s="57"/>
      <c r="B104" s="83" t="s">
        <v>185</v>
      </c>
      <c r="C104" s="84" t="n">
        <v>3810</v>
      </c>
      <c r="D104" s="85" t="n">
        <f aca="false">C104-C103</f>
        <v>110</v>
      </c>
      <c r="E104" s="86" t="n">
        <f aca="false">IFERROR((C104-C103)/C103,0)</f>
        <v>0.0297297297297297</v>
      </c>
      <c r="F104" s="87" t="n">
        <v>2</v>
      </c>
      <c r="G104" s="84" t="n">
        <v>8400</v>
      </c>
      <c r="H104" s="84" t="n">
        <v>402</v>
      </c>
      <c r="I104" s="88" t="n">
        <f aca="false">IFERROR(H104/G104,0)</f>
        <v>0.0478571428571429</v>
      </c>
      <c r="J104" s="84" t="n">
        <v>265</v>
      </c>
      <c r="K104" s="84" t="n">
        <v>48</v>
      </c>
      <c r="L104" s="84" t="n">
        <v>0</v>
      </c>
      <c r="M104" s="84" t="n">
        <v>0</v>
      </c>
      <c r="N104" s="83" t="s">
        <v>180</v>
      </c>
      <c r="O104" s="57"/>
      <c r="P104" s="57"/>
      <c r="Q104" s="57"/>
    </row>
    <row r="105" customFormat="false" ht="18" hidden="false" customHeight="true" outlineLevel="0" collapsed="false">
      <c r="A105" s="57"/>
      <c r="B105" s="77" t="s">
        <v>186</v>
      </c>
      <c r="C105" s="78" t="n">
        <v>3920</v>
      </c>
      <c r="D105" s="79" t="n">
        <f aca="false">C105-C104</f>
        <v>110</v>
      </c>
      <c r="E105" s="89" t="n">
        <f aca="false">IFERROR((C105-C104)/C104,0)</f>
        <v>0.0288713910761155</v>
      </c>
      <c r="F105" s="81" t="n">
        <v>2</v>
      </c>
      <c r="G105" s="78" t="n">
        <v>7600</v>
      </c>
      <c r="H105" s="78" t="n">
        <v>363</v>
      </c>
      <c r="I105" s="82" t="n">
        <f aca="false">IFERROR(H105/G105,0)</f>
        <v>0.0477631578947368</v>
      </c>
      <c r="J105" s="78" t="n">
        <v>240</v>
      </c>
      <c r="K105" s="78" t="n">
        <v>43</v>
      </c>
      <c r="L105" s="78" t="n">
        <v>0</v>
      </c>
      <c r="M105" s="78" t="n">
        <v>0</v>
      </c>
      <c r="N105" s="77" t="s">
        <v>180</v>
      </c>
      <c r="O105" s="57"/>
      <c r="P105" s="57"/>
      <c r="Q105" s="57"/>
    </row>
    <row r="106" customFormat="false" ht="18" hidden="false" customHeight="true" outlineLevel="0" collapsed="false">
      <c r="A106" s="57"/>
      <c r="B106" s="83" t="s">
        <v>187</v>
      </c>
      <c r="C106" s="84" t="n">
        <v>4020</v>
      </c>
      <c r="D106" s="85" t="n">
        <f aca="false">C106-C105</f>
        <v>100</v>
      </c>
      <c r="E106" s="86" t="n">
        <f aca="false">IFERROR((C106-C105)/C105,0)</f>
        <v>0.0255102040816327</v>
      </c>
      <c r="F106" s="87" t="n">
        <v>2</v>
      </c>
      <c r="G106" s="84" t="n">
        <v>11200</v>
      </c>
      <c r="H106" s="84" t="n">
        <v>536</v>
      </c>
      <c r="I106" s="88" t="n">
        <f aca="false">IFERROR(H106/G106,0)</f>
        <v>0.0478571428571429</v>
      </c>
      <c r="J106" s="84" t="n">
        <v>354</v>
      </c>
      <c r="K106" s="84" t="n">
        <v>64</v>
      </c>
      <c r="L106" s="84" t="n">
        <v>0</v>
      </c>
      <c r="M106" s="84" t="n">
        <v>0</v>
      </c>
      <c r="N106" s="83" t="s">
        <v>180</v>
      </c>
      <c r="O106" s="57"/>
      <c r="P106" s="57"/>
      <c r="Q106" s="57"/>
    </row>
    <row r="107" customFormat="false" ht="18" hidden="false" customHeight="true" outlineLevel="0" collapsed="false">
      <c r="A107" s="57"/>
      <c r="B107" s="77" t="s">
        <v>188</v>
      </c>
      <c r="C107" s="78" t="n">
        <v>4100</v>
      </c>
      <c r="D107" s="79" t="n">
        <f aca="false">C107-C106</f>
        <v>80</v>
      </c>
      <c r="E107" s="89" t="n">
        <f aca="false">IFERROR((C107-C106)/C106,0)</f>
        <v>0.0199004975124378</v>
      </c>
      <c r="F107" s="81" t="n">
        <v>2</v>
      </c>
      <c r="G107" s="78" t="n">
        <v>8400</v>
      </c>
      <c r="H107" s="78" t="n">
        <v>402</v>
      </c>
      <c r="I107" s="82" t="n">
        <f aca="false">IFERROR(H107/G107,0)</f>
        <v>0.0478571428571429</v>
      </c>
      <c r="J107" s="78" t="n">
        <v>265</v>
      </c>
      <c r="K107" s="78" t="n">
        <v>48</v>
      </c>
      <c r="L107" s="78" t="n">
        <v>0</v>
      </c>
      <c r="M107" s="78" t="n">
        <v>0</v>
      </c>
      <c r="N107" s="77" t="s">
        <v>180</v>
      </c>
      <c r="O107" s="57"/>
      <c r="P107" s="57"/>
      <c r="Q107" s="57"/>
    </row>
    <row r="108" customFormat="false" ht="18" hidden="false" customHeight="true" outlineLevel="0" collapsed="false">
      <c r="A108" s="57"/>
      <c r="B108" s="83" t="s">
        <v>189</v>
      </c>
      <c r="C108" s="84" t="n">
        <v>4180</v>
      </c>
      <c r="D108" s="85" t="n">
        <f aca="false">C108-C107</f>
        <v>80</v>
      </c>
      <c r="E108" s="86" t="n">
        <f aca="false">IFERROR((C108-C107)/C107,0)</f>
        <v>0.0195121951219512</v>
      </c>
      <c r="F108" s="87" t="n">
        <v>3</v>
      </c>
      <c r="G108" s="84" t="n">
        <v>12400</v>
      </c>
      <c r="H108" s="84" t="n">
        <v>593</v>
      </c>
      <c r="I108" s="88" t="n">
        <f aca="false">IFERROR(H108/G108,0)</f>
        <v>0.0478225806451613</v>
      </c>
      <c r="J108" s="84" t="n">
        <v>391</v>
      </c>
      <c r="K108" s="84" t="n">
        <v>71</v>
      </c>
      <c r="L108" s="84" t="n">
        <v>0</v>
      </c>
      <c r="M108" s="84" t="n">
        <v>0</v>
      </c>
      <c r="N108" s="83" t="s">
        <v>180</v>
      </c>
      <c r="O108" s="57"/>
      <c r="P108" s="57"/>
      <c r="Q108" s="57"/>
    </row>
    <row r="109" customFormat="false" ht="18" hidden="false" customHeight="true" outlineLevel="0" collapsed="false">
      <c r="A109" s="57"/>
      <c r="B109" s="77" t="s">
        <v>190</v>
      </c>
      <c r="C109" s="78" t="n">
        <v>4260</v>
      </c>
      <c r="D109" s="79" t="n">
        <f aca="false">C109-C108</f>
        <v>80</v>
      </c>
      <c r="E109" s="89" t="n">
        <f aca="false">IFERROR((C109-C108)/C108,0)</f>
        <v>0.0191387559808612</v>
      </c>
      <c r="F109" s="81" t="n">
        <v>2</v>
      </c>
      <c r="G109" s="78" t="n">
        <v>9200</v>
      </c>
      <c r="H109" s="78" t="n">
        <v>440</v>
      </c>
      <c r="I109" s="82" t="n">
        <f aca="false">IFERROR(H109/G109,0)</f>
        <v>0.0478260869565217</v>
      </c>
      <c r="J109" s="78" t="n">
        <v>291</v>
      </c>
      <c r="K109" s="78" t="n">
        <v>52</v>
      </c>
      <c r="L109" s="78" t="n">
        <v>0</v>
      </c>
      <c r="M109" s="78" t="n">
        <v>0</v>
      </c>
      <c r="N109" s="77" t="s">
        <v>180</v>
      </c>
      <c r="O109" s="57"/>
      <c r="P109" s="57"/>
      <c r="Q109" s="57"/>
    </row>
    <row r="110" customFormat="false" ht="18" hidden="false" customHeight="true" outlineLevel="0" collapsed="false">
      <c r="A110" s="57"/>
      <c r="B110" s="83" t="s">
        <v>191</v>
      </c>
      <c r="C110" s="84" t="n">
        <v>4340</v>
      </c>
      <c r="D110" s="85" t="n">
        <f aca="false">C110-C109</f>
        <v>80</v>
      </c>
      <c r="E110" s="86" t="n">
        <f aca="false">IFERROR((C110-C109)/C109,0)</f>
        <v>0.0187793427230047</v>
      </c>
      <c r="F110" s="87" t="n">
        <v>2</v>
      </c>
      <c r="G110" s="84" t="n">
        <v>10800</v>
      </c>
      <c r="H110" s="84" t="n">
        <v>516</v>
      </c>
      <c r="I110" s="88" t="n">
        <f aca="false">IFERROR(H110/G110,0)</f>
        <v>0.0477777777777778</v>
      </c>
      <c r="J110" s="84" t="n">
        <v>341</v>
      </c>
      <c r="K110" s="84" t="n">
        <v>61</v>
      </c>
      <c r="L110" s="84" t="n">
        <v>0</v>
      </c>
      <c r="M110" s="84" t="n">
        <v>0</v>
      </c>
      <c r="N110" s="83" t="s">
        <v>180</v>
      </c>
      <c r="O110" s="57"/>
      <c r="P110" s="57"/>
      <c r="Q110" s="57"/>
    </row>
    <row r="111" customFormat="false" ht="18" hidden="false" customHeight="true" outlineLevel="0" collapsed="false">
      <c r="A111" s="57"/>
      <c r="B111" s="77" t="s">
        <v>192</v>
      </c>
      <c r="C111" s="78" t="n">
        <v>4420</v>
      </c>
      <c r="D111" s="79" t="n">
        <f aca="false">C111-C110</f>
        <v>80</v>
      </c>
      <c r="E111" s="89" t="n">
        <f aca="false">IFERROR((C111-C110)/C110,0)</f>
        <v>0.0184331797235023</v>
      </c>
      <c r="F111" s="81" t="n">
        <v>2</v>
      </c>
      <c r="G111" s="78" t="n">
        <v>14200</v>
      </c>
      <c r="H111" s="78" t="n">
        <v>679</v>
      </c>
      <c r="I111" s="82" t="n">
        <f aca="false">IFERROR(H111/G111,0)</f>
        <v>0.0478169014084507</v>
      </c>
      <c r="J111" s="78" t="n">
        <v>448</v>
      </c>
      <c r="K111" s="78" t="n">
        <v>81</v>
      </c>
      <c r="L111" s="78" t="n">
        <v>0</v>
      </c>
      <c r="M111" s="78" t="n">
        <v>0</v>
      </c>
      <c r="N111" s="77" t="s">
        <v>180</v>
      </c>
      <c r="O111" s="57"/>
      <c r="P111" s="57"/>
      <c r="Q111" s="57"/>
    </row>
    <row r="112" customFormat="false" ht="18" hidden="false" customHeight="true" outlineLevel="0" collapsed="false">
      <c r="A112" s="57"/>
      <c r="B112" s="83" t="s">
        <v>193</v>
      </c>
      <c r="C112" s="84" t="n">
        <v>4510</v>
      </c>
      <c r="D112" s="85" t="n">
        <f aca="false">C112-C111</f>
        <v>90</v>
      </c>
      <c r="E112" s="86" t="n">
        <f aca="false">IFERROR((C112-C111)/C111,0)</f>
        <v>0.0203619909502262</v>
      </c>
      <c r="F112" s="87" t="n">
        <v>2</v>
      </c>
      <c r="G112" s="84" t="n">
        <v>10400</v>
      </c>
      <c r="H112" s="84" t="n">
        <v>497</v>
      </c>
      <c r="I112" s="88" t="n">
        <f aca="false">IFERROR(H112/G112,0)</f>
        <v>0.0477884615384615</v>
      </c>
      <c r="J112" s="84" t="n">
        <v>328</v>
      </c>
      <c r="K112" s="84" t="n">
        <v>59</v>
      </c>
      <c r="L112" s="84" t="n">
        <v>0</v>
      </c>
      <c r="M112" s="84" t="n">
        <v>0</v>
      </c>
      <c r="N112" s="83" t="s">
        <v>180</v>
      </c>
      <c r="O112" s="57"/>
      <c r="P112" s="57"/>
      <c r="Q112" s="57"/>
    </row>
    <row r="113" customFormat="false" ht="18" hidden="false" customHeight="true" outlineLevel="0" collapsed="false">
      <c r="A113" s="57"/>
      <c r="B113" s="77" t="s">
        <v>194</v>
      </c>
      <c r="C113" s="78" t="n">
        <v>4600</v>
      </c>
      <c r="D113" s="79" t="n">
        <f aca="false">C113-C112</f>
        <v>90</v>
      </c>
      <c r="E113" s="89" t="n">
        <f aca="false">IFERROR((C113-C112)/C112,0)</f>
        <v>0.0199556541019956</v>
      </c>
      <c r="F113" s="81" t="n">
        <v>3</v>
      </c>
      <c r="G113" s="78" t="n">
        <v>16200</v>
      </c>
      <c r="H113" s="78" t="n">
        <v>774</v>
      </c>
      <c r="I113" s="82" t="n">
        <f aca="false">IFERROR(H113/G113,0)</f>
        <v>0.0477777777777778</v>
      </c>
      <c r="J113" s="78" t="n">
        <v>511</v>
      </c>
      <c r="K113" s="78" t="n">
        <v>92</v>
      </c>
      <c r="L113" s="78" t="n">
        <v>0</v>
      </c>
      <c r="M113" s="78" t="n">
        <v>0</v>
      </c>
      <c r="N113" s="77" t="s">
        <v>180</v>
      </c>
      <c r="O113" s="57"/>
      <c r="P113" s="57"/>
      <c r="Q113" s="57"/>
    </row>
    <row r="114" customFormat="false" ht="18" hidden="false" customHeight="true" outlineLevel="0" collapsed="false">
      <c r="A114" s="57"/>
      <c r="B114" s="83" t="s">
        <v>195</v>
      </c>
      <c r="C114" s="84" t="n">
        <v>4690</v>
      </c>
      <c r="D114" s="85" t="n">
        <f aca="false">C114-C113</f>
        <v>90</v>
      </c>
      <c r="E114" s="86" t="n">
        <f aca="false">IFERROR((C114-C113)/C113,0)</f>
        <v>0.0195652173913044</v>
      </c>
      <c r="F114" s="87" t="n">
        <v>2</v>
      </c>
      <c r="G114" s="84" t="n">
        <v>13200</v>
      </c>
      <c r="H114" s="84" t="n">
        <v>631</v>
      </c>
      <c r="I114" s="88" t="n">
        <f aca="false">IFERROR(H114/G114,0)</f>
        <v>0.0478030303030303</v>
      </c>
      <c r="J114" s="84" t="n">
        <v>417</v>
      </c>
      <c r="K114" s="84" t="n">
        <v>75</v>
      </c>
      <c r="L114" s="84" t="n">
        <v>0</v>
      </c>
      <c r="M114" s="84" t="n">
        <v>0</v>
      </c>
      <c r="N114" s="83" t="s">
        <v>180</v>
      </c>
      <c r="O114" s="57"/>
      <c r="P114" s="57"/>
      <c r="Q114" s="57"/>
    </row>
    <row r="115" customFormat="false" ht="18" hidden="false" customHeight="true" outlineLevel="0" collapsed="false">
      <c r="A115" s="57"/>
      <c r="B115" s="77" t="s">
        <v>196</v>
      </c>
      <c r="C115" s="78" t="n">
        <v>4780</v>
      </c>
      <c r="D115" s="79" t="n">
        <f aca="false">C115-C114</f>
        <v>90</v>
      </c>
      <c r="E115" s="89" t="n">
        <f aca="false">IFERROR((C115-C114)/C114,0)</f>
        <v>0.0191897654584222</v>
      </c>
      <c r="F115" s="81" t="n">
        <v>2</v>
      </c>
      <c r="G115" s="78" t="n">
        <v>10800</v>
      </c>
      <c r="H115" s="78" t="n">
        <v>517</v>
      </c>
      <c r="I115" s="82" t="n">
        <f aca="false">IFERROR(H115/G115,0)</f>
        <v>0.0478703703703704</v>
      </c>
      <c r="J115" s="78" t="n">
        <v>341</v>
      </c>
      <c r="K115" s="78" t="n">
        <v>62</v>
      </c>
      <c r="L115" s="78" t="n">
        <v>0</v>
      </c>
      <c r="M115" s="78" t="n">
        <v>0</v>
      </c>
      <c r="N115" s="77" t="s">
        <v>180</v>
      </c>
      <c r="O115" s="57"/>
      <c r="P115" s="57"/>
      <c r="Q115" s="57"/>
    </row>
    <row r="116" customFormat="false" ht="18" hidden="false" customHeight="true" outlineLevel="0" collapsed="false">
      <c r="A116" s="57"/>
      <c r="B116" s="83" t="s">
        <v>197</v>
      </c>
      <c r="C116" s="84" t="n">
        <v>4850</v>
      </c>
      <c r="D116" s="85" t="n">
        <f aca="false">C116-C115</f>
        <v>70</v>
      </c>
      <c r="E116" s="86" t="n">
        <f aca="false">IFERROR((C116-C115)/C115,0)</f>
        <v>0.0146443514644351</v>
      </c>
      <c r="F116" s="87" t="n">
        <v>2</v>
      </c>
      <c r="G116" s="84" t="n">
        <v>11200</v>
      </c>
      <c r="H116" s="84" t="n">
        <v>536</v>
      </c>
      <c r="I116" s="88" t="n">
        <f aca="false">IFERROR(H116/G116,0)</f>
        <v>0.0478571428571429</v>
      </c>
      <c r="J116" s="84" t="n">
        <v>354</v>
      </c>
      <c r="K116" s="84" t="n">
        <v>64</v>
      </c>
      <c r="L116" s="84" t="n">
        <v>0</v>
      </c>
      <c r="M116" s="84" t="n">
        <v>0</v>
      </c>
      <c r="N116" s="83" t="s">
        <v>180</v>
      </c>
      <c r="O116" s="57"/>
      <c r="P116" s="57"/>
      <c r="Q116" s="57"/>
    </row>
    <row r="117" customFormat="false" ht="18" hidden="false" customHeight="true" outlineLevel="0" collapsed="false">
      <c r="A117" s="57"/>
      <c r="B117" s="77" t="s">
        <v>198</v>
      </c>
      <c r="C117" s="78" t="n">
        <v>4890</v>
      </c>
      <c r="D117" s="79" t="n">
        <f aca="false">C117-C116</f>
        <v>40</v>
      </c>
      <c r="E117" s="89" t="n">
        <f aca="false">IFERROR((C117-C116)/C116,0)</f>
        <v>0.00824742268041237</v>
      </c>
      <c r="F117" s="81" t="n">
        <v>2</v>
      </c>
      <c r="G117" s="78" t="n">
        <v>13600</v>
      </c>
      <c r="H117" s="78" t="n">
        <v>650</v>
      </c>
      <c r="I117" s="82" t="n">
        <f aca="false">IFERROR(H117/G117,0)</f>
        <v>0.0477941176470588</v>
      </c>
      <c r="J117" s="78" t="n">
        <v>429</v>
      </c>
      <c r="K117" s="78" t="n">
        <v>77</v>
      </c>
      <c r="L117" s="78" t="n">
        <v>0</v>
      </c>
      <c r="M117" s="78" t="n">
        <v>0</v>
      </c>
      <c r="N117" s="77" t="s">
        <v>180</v>
      </c>
      <c r="O117" s="57"/>
      <c r="P117" s="57"/>
      <c r="Q117" s="57"/>
    </row>
    <row r="118" customFormat="false" ht="18" hidden="false" customHeight="true" outlineLevel="0" collapsed="false">
      <c r="A118" s="57"/>
      <c r="B118" s="83" t="s">
        <v>199</v>
      </c>
      <c r="C118" s="84" t="n">
        <v>4920</v>
      </c>
      <c r="D118" s="85" t="n">
        <f aca="false">C118-C117</f>
        <v>30</v>
      </c>
      <c r="E118" s="86" t="n">
        <f aca="false">IFERROR((C118-C117)/C117,0)</f>
        <v>0.00613496932515337</v>
      </c>
      <c r="F118" s="87" t="n">
        <v>2</v>
      </c>
      <c r="G118" s="84" t="n">
        <v>11200</v>
      </c>
      <c r="H118" s="84" t="n">
        <v>536</v>
      </c>
      <c r="I118" s="88" t="n">
        <f aca="false">IFERROR(H118/G118,0)</f>
        <v>0.0478571428571429</v>
      </c>
      <c r="J118" s="84" t="n">
        <v>354</v>
      </c>
      <c r="K118" s="84" t="n">
        <v>64</v>
      </c>
      <c r="L118" s="84" t="n">
        <v>0</v>
      </c>
      <c r="M118" s="84" t="n">
        <v>0</v>
      </c>
      <c r="N118" s="83" t="s">
        <v>180</v>
      </c>
      <c r="O118" s="57"/>
      <c r="P118" s="57"/>
      <c r="Q118" s="57"/>
    </row>
    <row r="119" customFormat="false" ht="18" hidden="false" customHeight="true" outlineLevel="0" collapsed="false">
      <c r="A119" s="57"/>
      <c r="B119" s="77" t="s">
        <v>200</v>
      </c>
      <c r="C119" s="78" t="n">
        <v>4950</v>
      </c>
      <c r="D119" s="79" t="n">
        <f aca="false">C119-C118</f>
        <v>30</v>
      </c>
      <c r="E119" s="89" t="n">
        <f aca="false">IFERROR((C119-C118)/C118,0)</f>
        <v>0.00609756097560976</v>
      </c>
      <c r="F119" s="81" t="n">
        <v>2</v>
      </c>
      <c r="G119" s="78" t="n">
        <v>12400</v>
      </c>
      <c r="H119" s="78" t="n">
        <v>593</v>
      </c>
      <c r="I119" s="82" t="n">
        <f aca="false">IFERROR(H119/G119,0)</f>
        <v>0.0478225806451613</v>
      </c>
      <c r="J119" s="78" t="n">
        <v>391</v>
      </c>
      <c r="K119" s="78" t="n">
        <v>71</v>
      </c>
      <c r="L119" s="78" t="n">
        <v>0</v>
      </c>
      <c r="M119" s="78" t="n">
        <v>0</v>
      </c>
      <c r="N119" s="77" t="s">
        <v>180</v>
      </c>
      <c r="O119" s="57"/>
      <c r="P119" s="57"/>
      <c r="Q119" s="57"/>
    </row>
    <row r="120" customFormat="false" ht="18" hidden="false" customHeight="true" outlineLevel="0" collapsed="false">
      <c r="A120" s="57"/>
      <c r="B120" s="83" t="s">
        <v>201</v>
      </c>
      <c r="C120" s="84" t="n">
        <v>4980</v>
      </c>
      <c r="D120" s="85" t="n">
        <f aca="false">C120-C119</f>
        <v>30</v>
      </c>
      <c r="E120" s="86" t="n">
        <f aca="false">IFERROR((C120-C119)/C119,0)</f>
        <v>0.00606060606060606</v>
      </c>
      <c r="F120" s="87" t="n">
        <v>2</v>
      </c>
      <c r="G120" s="84" t="n">
        <v>11000</v>
      </c>
      <c r="H120" s="84" t="n">
        <v>526</v>
      </c>
      <c r="I120" s="88" t="n">
        <f aca="false">IFERROR(H120/G120,0)</f>
        <v>0.0478181818181818</v>
      </c>
      <c r="J120" s="84" t="n">
        <v>347</v>
      </c>
      <c r="K120" s="84" t="n">
        <v>63</v>
      </c>
      <c r="L120" s="84" t="n">
        <v>0</v>
      </c>
      <c r="M120" s="84" t="n">
        <v>0</v>
      </c>
      <c r="N120" s="83" t="s">
        <v>180</v>
      </c>
      <c r="O120" s="57"/>
      <c r="P120" s="57"/>
      <c r="Q120" s="57"/>
    </row>
    <row r="121" customFormat="false" ht="18" hidden="false" customHeight="true" outlineLevel="0" collapsed="false">
      <c r="A121" s="57"/>
      <c r="B121" s="77" t="s">
        <v>61</v>
      </c>
      <c r="C121" s="78" t="n">
        <v>5010</v>
      </c>
      <c r="D121" s="79" t="n">
        <f aca="false">C121-C120</f>
        <v>30</v>
      </c>
      <c r="E121" s="89" t="n">
        <f aca="false">IFERROR((C121-C120)/C120,0)</f>
        <v>0.00602409638554217</v>
      </c>
      <c r="F121" s="81" t="n">
        <v>2</v>
      </c>
      <c r="G121" s="78" t="n">
        <v>12200</v>
      </c>
      <c r="H121" s="78" t="n">
        <v>584</v>
      </c>
      <c r="I121" s="82" t="n">
        <f aca="false">IFERROR(H121/G121,0)</f>
        <v>0.0478688524590164</v>
      </c>
      <c r="J121" s="78" t="n">
        <v>385</v>
      </c>
      <c r="K121" s="78" t="n">
        <v>70</v>
      </c>
      <c r="L121" s="78" t="n">
        <v>0</v>
      </c>
      <c r="M121" s="78" t="n">
        <v>0</v>
      </c>
      <c r="N121" s="77" t="s">
        <v>180</v>
      </c>
      <c r="O121" s="57"/>
      <c r="P121" s="57"/>
      <c r="Q121" s="57"/>
    </row>
    <row r="122" customFormat="false" ht="18" hidden="false" customHeight="true" outlineLevel="0" collapsed="false">
      <c r="A122" s="57"/>
      <c r="B122" s="83" t="s">
        <v>62</v>
      </c>
      <c r="C122" s="84" t="n">
        <v>5050</v>
      </c>
      <c r="D122" s="85" t="n">
        <f aca="false">C122-C121</f>
        <v>40</v>
      </c>
      <c r="E122" s="86" t="n">
        <f aca="false">IFERROR((C122-C121)/C121,0)</f>
        <v>0.00798403193612774</v>
      </c>
      <c r="F122" s="87" t="n">
        <v>2</v>
      </c>
      <c r="G122" s="84" t="n">
        <v>14200</v>
      </c>
      <c r="H122" s="84" t="n">
        <v>679</v>
      </c>
      <c r="I122" s="88" t="n">
        <f aca="false">IFERROR(H122/G122,0)</f>
        <v>0.0478169014084507</v>
      </c>
      <c r="J122" s="84" t="n">
        <v>448</v>
      </c>
      <c r="K122" s="84" t="n">
        <v>81</v>
      </c>
      <c r="L122" s="84" t="n">
        <v>0</v>
      </c>
      <c r="M122" s="84" t="n">
        <v>0</v>
      </c>
      <c r="N122" s="83" t="s">
        <v>180</v>
      </c>
      <c r="O122" s="57"/>
      <c r="P122" s="57"/>
      <c r="Q122" s="57"/>
    </row>
    <row r="123" customFormat="false" ht="18" hidden="false" customHeight="true" outlineLevel="0" collapsed="false">
      <c r="A123" s="57"/>
      <c r="B123" s="77" t="s">
        <v>63</v>
      </c>
      <c r="C123" s="78" t="n">
        <v>5100</v>
      </c>
      <c r="D123" s="79" t="n">
        <f aca="false">C123-C122</f>
        <v>50</v>
      </c>
      <c r="E123" s="89" t="n">
        <f aca="false">IFERROR((C123-C122)/C122,0)</f>
        <v>0.0099009900990099</v>
      </c>
      <c r="F123" s="81" t="n">
        <v>2</v>
      </c>
      <c r="G123" s="78" t="n">
        <v>13400</v>
      </c>
      <c r="H123" s="78" t="n">
        <v>640</v>
      </c>
      <c r="I123" s="82" t="n">
        <f aca="false">IFERROR(H123/G123,0)</f>
        <v>0.0477611940298508</v>
      </c>
      <c r="J123" s="78" t="n">
        <v>423</v>
      </c>
      <c r="K123" s="78" t="n">
        <v>76</v>
      </c>
      <c r="L123" s="78" t="n">
        <v>0</v>
      </c>
      <c r="M123" s="78" t="n">
        <v>0</v>
      </c>
      <c r="N123" s="77" t="s">
        <v>180</v>
      </c>
      <c r="O123" s="57"/>
      <c r="P123" s="57"/>
      <c r="Q123" s="57"/>
    </row>
    <row r="124" customFormat="false" ht="18" hidden="false" customHeight="true" outlineLevel="0" collapsed="false">
      <c r="A124" s="57"/>
      <c r="B124" s="83" t="s">
        <v>64</v>
      </c>
      <c r="C124" s="84" t="n">
        <v>5160</v>
      </c>
      <c r="D124" s="85" t="n">
        <f aca="false">C124-C123</f>
        <v>60</v>
      </c>
      <c r="E124" s="86" t="n">
        <f aca="false">IFERROR((C124-C123)/C123,0)</f>
        <v>0.0117647058823529</v>
      </c>
      <c r="F124" s="87" t="n">
        <v>2</v>
      </c>
      <c r="G124" s="84" t="n">
        <v>12800</v>
      </c>
      <c r="H124" s="84" t="n">
        <v>612</v>
      </c>
      <c r="I124" s="88" t="n">
        <f aca="false">IFERROR(H124/G124,0)</f>
        <v>0.0478125</v>
      </c>
      <c r="J124" s="84" t="n">
        <v>404</v>
      </c>
      <c r="K124" s="84" t="n">
        <v>73</v>
      </c>
      <c r="L124" s="84" t="n">
        <v>0</v>
      </c>
      <c r="M124" s="84" t="n">
        <v>0</v>
      </c>
      <c r="N124" s="83" t="s">
        <v>180</v>
      </c>
      <c r="O124" s="57"/>
      <c r="P124" s="57"/>
      <c r="Q124" s="57"/>
    </row>
    <row r="125" customFormat="false" ht="18" hidden="false" customHeight="true" outlineLevel="0" collapsed="false">
      <c r="A125" s="57"/>
      <c r="B125" s="77" t="s">
        <v>65</v>
      </c>
      <c r="C125" s="78" t="n">
        <v>5230</v>
      </c>
      <c r="D125" s="79" t="n">
        <f aca="false">C125-C124</f>
        <v>70</v>
      </c>
      <c r="E125" s="89" t="n">
        <f aca="false">IFERROR((C125-C124)/C124,0)</f>
        <v>0.0135658914728682</v>
      </c>
      <c r="F125" s="81" t="n">
        <v>2</v>
      </c>
      <c r="G125" s="78" t="n">
        <v>13800</v>
      </c>
      <c r="H125" s="78" t="n">
        <v>660</v>
      </c>
      <c r="I125" s="82" t="n">
        <f aca="false">IFERROR(H125/G125,0)</f>
        <v>0.0478260869565217</v>
      </c>
      <c r="J125" s="78" t="n">
        <v>435</v>
      </c>
      <c r="K125" s="78" t="n">
        <v>79</v>
      </c>
      <c r="L125" s="78" t="n">
        <v>0</v>
      </c>
      <c r="M125" s="78" t="n">
        <v>0</v>
      </c>
      <c r="N125" s="77" t="s">
        <v>180</v>
      </c>
      <c r="O125" s="57"/>
      <c r="P125" s="57"/>
      <c r="Q125" s="57"/>
    </row>
    <row r="126" customFormat="false" ht="18" hidden="false" customHeight="true" outlineLevel="0" collapsed="false">
      <c r="A126" s="57"/>
      <c r="B126" s="83" t="s">
        <v>66</v>
      </c>
      <c r="C126" s="84" t="n">
        <v>5310</v>
      </c>
      <c r="D126" s="85" t="n">
        <f aca="false">C126-C125</f>
        <v>80</v>
      </c>
      <c r="E126" s="86" t="n">
        <f aca="false">IFERROR((C126-C125)/C125,0)</f>
        <v>0.0152963671128107</v>
      </c>
      <c r="F126" s="87" t="n">
        <v>2</v>
      </c>
      <c r="G126" s="84" t="n">
        <v>14200</v>
      </c>
      <c r="H126" s="84" t="n">
        <v>679</v>
      </c>
      <c r="I126" s="88" t="n">
        <f aca="false">IFERROR(H126/G126,0)</f>
        <v>0.0478169014084507</v>
      </c>
      <c r="J126" s="84" t="n">
        <v>448</v>
      </c>
      <c r="K126" s="84" t="n">
        <v>81</v>
      </c>
      <c r="L126" s="84" t="n">
        <v>0</v>
      </c>
      <c r="M126" s="84" t="n">
        <v>0</v>
      </c>
      <c r="N126" s="83" t="s">
        <v>180</v>
      </c>
      <c r="O126" s="57"/>
      <c r="P126" s="57"/>
      <c r="Q126" s="57"/>
    </row>
    <row r="127" customFormat="false" ht="15" hidden="false" customHeight="false" outlineLevel="0" collapsed="false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</row>
    <row r="128" customFormat="false" ht="24" hidden="false" customHeight="true" outlineLevel="0" collapsed="false">
      <c r="A128" s="57"/>
      <c r="B128" s="93" t="s">
        <v>206</v>
      </c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57"/>
      <c r="P128" s="57"/>
      <c r="Q128" s="57"/>
    </row>
    <row r="129" customFormat="false" ht="19.5" hidden="false" customHeight="true" outlineLevel="0" collapsed="false">
      <c r="A129" s="57"/>
      <c r="B129" s="40" t="s">
        <v>170</v>
      </c>
      <c r="C129" s="40" t="s">
        <v>4</v>
      </c>
      <c r="D129" s="40" t="s">
        <v>171</v>
      </c>
      <c r="E129" s="40" t="s">
        <v>172</v>
      </c>
      <c r="F129" s="40" t="s">
        <v>173</v>
      </c>
      <c r="G129" s="40" t="s">
        <v>79</v>
      </c>
      <c r="H129" s="40" t="s">
        <v>174</v>
      </c>
      <c r="I129" s="40" t="s">
        <v>175</v>
      </c>
      <c r="J129" s="40" t="s">
        <v>176</v>
      </c>
      <c r="K129" s="40" t="s">
        <v>81</v>
      </c>
      <c r="L129" s="40" t="s">
        <v>82</v>
      </c>
      <c r="M129" s="40" t="s">
        <v>177</v>
      </c>
      <c r="N129" s="40" t="s">
        <v>178</v>
      </c>
      <c r="O129" s="57"/>
      <c r="P129" s="57"/>
      <c r="Q129" s="57"/>
    </row>
    <row r="130" customFormat="false" ht="18" hidden="false" customHeight="true" outlineLevel="0" collapsed="false">
      <c r="A130" s="57"/>
      <c r="B130" s="77" t="s">
        <v>179</v>
      </c>
      <c r="C130" s="78" t="n">
        <v>1820</v>
      </c>
      <c r="D130" s="79"/>
      <c r="E130" s="80"/>
      <c r="F130" s="81" t="n">
        <v>2</v>
      </c>
      <c r="G130" s="78" t="n">
        <v>1820</v>
      </c>
      <c r="H130" s="78" t="n">
        <v>14</v>
      </c>
      <c r="I130" s="82" t="n">
        <f aca="false">IFERROR(H130/G130,0)</f>
        <v>0.00769230769230769</v>
      </c>
      <c r="J130" s="78" t="n">
        <v>6</v>
      </c>
      <c r="K130" s="78" t="n">
        <v>1</v>
      </c>
      <c r="L130" s="78" t="n">
        <v>2</v>
      </c>
      <c r="M130" s="78" t="n">
        <v>0</v>
      </c>
      <c r="N130" s="77" t="s">
        <v>204</v>
      </c>
      <c r="O130" s="57"/>
      <c r="P130" s="57"/>
      <c r="Q130" s="57"/>
    </row>
    <row r="131" customFormat="false" ht="18" hidden="false" customHeight="true" outlineLevel="0" collapsed="false">
      <c r="A131" s="57"/>
      <c r="B131" s="83" t="s">
        <v>181</v>
      </c>
      <c r="C131" s="84" t="n">
        <v>1850</v>
      </c>
      <c r="D131" s="85" t="n">
        <f aca="false">C131-C130</f>
        <v>30</v>
      </c>
      <c r="E131" s="86" t="n">
        <f aca="false">IFERROR((C131-C130)/C130,0)</f>
        <v>0.0164835164835165</v>
      </c>
      <c r="F131" s="87" t="n">
        <v>2</v>
      </c>
      <c r="G131" s="84" t="n">
        <v>1850</v>
      </c>
      <c r="H131" s="84" t="n">
        <v>14</v>
      </c>
      <c r="I131" s="88" t="n">
        <f aca="false">IFERROR(H131/G131,0)</f>
        <v>0.00756756756756757</v>
      </c>
      <c r="J131" s="84" t="n">
        <v>6</v>
      </c>
      <c r="K131" s="84" t="n">
        <v>1</v>
      </c>
      <c r="L131" s="84" t="n">
        <v>2</v>
      </c>
      <c r="M131" s="84" t="n">
        <v>0</v>
      </c>
      <c r="N131" s="83" t="s">
        <v>204</v>
      </c>
      <c r="O131" s="57"/>
      <c r="P131" s="57"/>
      <c r="Q131" s="57"/>
    </row>
    <row r="132" customFormat="false" ht="18" hidden="false" customHeight="true" outlineLevel="0" collapsed="false">
      <c r="A132" s="57"/>
      <c r="B132" s="77" t="s">
        <v>182</v>
      </c>
      <c r="C132" s="78" t="n">
        <v>1878</v>
      </c>
      <c r="D132" s="79" t="n">
        <f aca="false">C132-C131</f>
        <v>28</v>
      </c>
      <c r="E132" s="89" t="n">
        <f aca="false">IFERROR((C132-C131)/C131,0)</f>
        <v>0.0151351351351351</v>
      </c>
      <c r="F132" s="81" t="n">
        <v>2</v>
      </c>
      <c r="G132" s="78" t="n">
        <v>1878</v>
      </c>
      <c r="H132" s="78" t="n">
        <v>15</v>
      </c>
      <c r="I132" s="82" t="n">
        <f aca="false">IFERROR(H132/G132,0)</f>
        <v>0.00798722044728435</v>
      </c>
      <c r="J132" s="78" t="n">
        <v>7</v>
      </c>
      <c r="K132" s="78" t="n">
        <v>1</v>
      </c>
      <c r="L132" s="78" t="n">
        <v>3</v>
      </c>
      <c r="M132" s="78" t="n">
        <v>0</v>
      </c>
      <c r="N132" s="77" t="s">
        <v>204</v>
      </c>
      <c r="O132" s="57"/>
      <c r="P132" s="57"/>
      <c r="Q132" s="57"/>
    </row>
    <row r="133" customFormat="false" ht="18" hidden="false" customHeight="true" outlineLevel="0" collapsed="false">
      <c r="A133" s="57"/>
      <c r="B133" s="83" t="s">
        <v>183</v>
      </c>
      <c r="C133" s="84" t="n">
        <v>1904</v>
      </c>
      <c r="D133" s="85" t="n">
        <f aca="false">C133-C132</f>
        <v>26</v>
      </c>
      <c r="E133" s="86" t="n">
        <f aca="false">IFERROR((C133-C132)/C132,0)</f>
        <v>0.0138445154419595</v>
      </c>
      <c r="F133" s="87" t="n">
        <v>2</v>
      </c>
      <c r="G133" s="84" t="n">
        <v>1904</v>
      </c>
      <c r="H133" s="84" t="n">
        <v>15</v>
      </c>
      <c r="I133" s="88" t="n">
        <f aca="false">IFERROR(H133/G133,0)</f>
        <v>0.0078781512605042</v>
      </c>
      <c r="J133" s="84" t="n">
        <v>7</v>
      </c>
      <c r="K133" s="84" t="n">
        <v>1</v>
      </c>
      <c r="L133" s="84" t="n">
        <v>3</v>
      </c>
      <c r="M133" s="84" t="n">
        <v>0</v>
      </c>
      <c r="N133" s="83" t="s">
        <v>204</v>
      </c>
      <c r="O133" s="57"/>
      <c r="P133" s="57"/>
      <c r="Q133" s="57"/>
    </row>
    <row r="134" customFormat="false" ht="18" hidden="false" customHeight="true" outlineLevel="0" collapsed="false">
      <c r="A134" s="57"/>
      <c r="B134" s="77" t="s">
        <v>184</v>
      </c>
      <c r="C134" s="78" t="n">
        <v>1930</v>
      </c>
      <c r="D134" s="79" t="n">
        <f aca="false">C134-C133</f>
        <v>26</v>
      </c>
      <c r="E134" s="89" t="n">
        <f aca="false">IFERROR((C134-C133)/C133,0)</f>
        <v>0.013655462184874</v>
      </c>
      <c r="F134" s="81" t="n">
        <v>2</v>
      </c>
      <c r="G134" s="78" t="n">
        <v>1930</v>
      </c>
      <c r="H134" s="78" t="n">
        <v>15</v>
      </c>
      <c r="I134" s="82" t="n">
        <f aca="false">IFERROR(H134/G134,0)</f>
        <v>0.0077720207253886</v>
      </c>
      <c r="J134" s="78" t="n">
        <v>7</v>
      </c>
      <c r="K134" s="78" t="n">
        <v>1</v>
      </c>
      <c r="L134" s="78" t="n">
        <v>3</v>
      </c>
      <c r="M134" s="78" t="n">
        <v>0</v>
      </c>
      <c r="N134" s="77" t="s">
        <v>204</v>
      </c>
      <c r="O134" s="57"/>
      <c r="P134" s="57"/>
      <c r="Q134" s="57"/>
    </row>
    <row r="135" customFormat="false" ht="18" hidden="false" customHeight="true" outlineLevel="0" collapsed="false">
      <c r="A135" s="57"/>
      <c r="B135" s="83" t="s">
        <v>185</v>
      </c>
      <c r="C135" s="84" t="n">
        <v>1952</v>
      </c>
      <c r="D135" s="85" t="n">
        <f aca="false">C135-C134</f>
        <v>22</v>
      </c>
      <c r="E135" s="86" t="n">
        <f aca="false">IFERROR((C135-C134)/C134,0)</f>
        <v>0.0113989637305699</v>
      </c>
      <c r="F135" s="87" t="n">
        <v>2</v>
      </c>
      <c r="G135" s="84" t="n">
        <v>1952</v>
      </c>
      <c r="H135" s="84" t="n">
        <v>15</v>
      </c>
      <c r="I135" s="88" t="n">
        <f aca="false">IFERROR(H135/G135,0)</f>
        <v>0.0076844262295082</v>
      </c>
      <c r="J135" s="84" t="n">
        <v>7</v>
      </c>
      <c r="K135" s="84" t="n">
        <v>1</v>
      </c>
      <c r="L135" s="84" t="n">
        <v>3</v>
      </c>
      <c r="M135" s="84" t="n">
        <v>0</v>
      </c>
      <c r="N135" s="83" t="s">
        <v>204</v>
      </c>
      <c r="O135" s="57"/>
      <c r="P135" s="57"/>
      <c r="Q135" s="57"/>
    </row>
    <row r="136" customFormat="false" ht="18" hidden="false" customHeight="true" outlineLevel="0" collapsed="false">
      <c r="A136" s="57"/>
      <c r="B136" s="77" t="s">
        <v>186</v>
      </c>
      <c r="C136" s="78" t="n">
        <v>1974</v>
      </c>
      <c r="D136" s="79" t="n">
        <f aca="false">C136-C135</f>
        <v>22</v>
      </c>
      <c r="E136" s="89" t="n">
        <f aca="false">IFERROR((C136-C135)/C135,0)</f>
        <v>0.0112704918032787</v>
      </c>
      <c r="F136" s="81" t="n">
        <v>2</v>
      </c>
      <c r="G136" s="78" t="n">
        <v>1974</v>
      </c>
      <c r="H136" s="78" t="n">
        <v>15</v>
      </c>
      <c r="I136" s="82" t="n">
        <f aca="false">IFERROR(H136/G136,0)</f>
        <v>0.00759878419452888</v>
      </c>
      <c r="J136" s="78" t="n">
        <v>7</v>
      </c>
      <c r="K136" s="78" t="n">
        <v>1</v>
      </c>
      <c r="L136" s="78" t="n">
        <v>3</v>
      </c>
      <c r="M136" s="78" t="n">
        <v>0</v>
      </c>
      <c r="N136" s="77" t="s">
        <v>204</v>
      </c>
      <c r="O136" s="57"/>
      <c r="P136" s="57"/>
      <c r="Q136" s="57"/>
    </row>
    <row r="137" customFormat="false" ht="18" hidden="false" customHeight="true" outlineLevel="0" collapsed="false">
      <c r="A137" s="57"/>
      <c r="B137" s="83" t="s">
        <v>187</v>
      </c>
      <c r="C137" s="84" t="n">
        <v>1996</v>
      </c>
      <c r="D137" s="85" t="n">
        <f aca="false">C137-C136</f>
        <v>22</v>
      </c>
      <c r="E137" s="86" t="n">
        <f aca="false">IFERROR((C137-C136)/C136,0)</f>
        <v>0.011144883485309</v>
      </c>
      <c r="F137" s="87" t="n">
        <v>2</v>
      </c>
      <c r="G137" s="84" t="n">
        <v>1996</v>
      </c>
      <c r="H137" s="84" t="n">
        <v>15</v>
      </c>
      <c r="I137" s="88" t="n">
        <f aca="false">IFERROR(H137/G137,0)</f>
        <v>0.00751503006012024</v>
      </c>
      <c r="J137" s="84" t="n">
        <v>7</v>
      </c>
      <c r="K137" s="84" t="n">
        <v>1</v>
      </c>
      <c r="L137" s="84" t="n">
        <v>3</v>
      </c>
      <c r="M137" s="84" t="n">
        <v>0</v>
      </c>
      <c r="N137" s="83" t="s">
        <v>204</v>
      </c>
      <c r="O137" s="57"/>
      <c r="P137" s="57"/>
      <c r="Q137" s="57"/>
    </row>
    <row r="138" customFormat="false" ht="18" hidden="false" customHeight="true" outlineLevel="0" collapsed="false">
      <c r="A138" s="57"/>
      <c r="B138" s="77" t="s">
        <v>188</v>
      </c>
      <c r="C138" s="78" t="n">
        <v>2014</v>
      </c>
      <c r="D138" s="79" t="n">
        <f aca="false">C138-C137</f>
        <v>18</v>
      </c>
      <c r="E138" s="89" t="n">
        <f aca="false">IFERROR((C138-C137)/C137,0)</f>
        <v>0.00901803607214429</v>
      </c>
      <c r="F138" s="81" t="n">
        <v>2</v>
      </c>
      <c r="G138" s="78" t="n">
        <v>2014</v>
      </c>
      <c r="H138" s="78" t="n">
        <v>16</v>
      </c>
      <c r="I138" s="82" t="n">
        <f aca="false">IFERROR(H138/G138,0)</f>
        <v>0.00794438927507448</v>
      </c>
      <c r="J138" s="78" t="n">
        <v>8</v>
      </c>
      <c r="K138" s="78" t="n">
        <v>1</v>
      </c>
      <c r="L138" s="78" t="n">
        <v>3</v>
      </c>
      <c r="M138" s="78" t="n">
        <v>0</v>
      </c>
      <c r="N138" s="77" t="s">
        <v>204</v>
      </c>
      <c r="O138" s="57"/>
      <c r="P138" s="57"/>
      <c r="Q138" s="57"/>
    </row>
    <row r="139" customFormat="false" ht="18" hidden="false" customHeight="true" outlineLevel="0" collapsed="false">
      <c r="A139" s="57"/>
      <c r="B139" s="83" t="s">
        <v>189</v>
      </c>
      <c r="C139" s="84" t="n">
        <v>2030</v>
      </c>
      <c r="D139" s="85" t="n">
        <f aca="false">C139-C138</f>
        <v>16</v>
      </c>
      <c r="E139" s="86" t="n">
        <f aca="false">IFERROR((C139-C138)/C138,0)</f>
        <v>0.00794438927507448</v>
      </c>
      <c r="F139" s="87" t="n">
        <v>2</v>
      </c>
      <c r="G139" s="84" t="n">
        <v>2030</v>
      </c>
      <c r="H139" s="84" t="n">
        <v>16</v>
      </c>
      <c r="I139" s="88" t="n">
        <f aca="false">IFERROR(H139/G139,0)</f>
        <v>0.00788177339901478</v>
      </c>
      <c r="J139" s="84" t="n">
        <v>8</v>
      </c>
      <c r="K139" s="84" t="n">
        <v>1</v>
      </c>
      <c r="L139" s="84" t="n">
        <v>3</v>
      </c>
      <c r="M139" s="84" t="n">
        <v>0</v>
      </c>
      <c r="N139" s="83" t="s">
        <v>204</v>
      </c>
      <c r="O139" s="57"/>
      <c r="P139" s="57"/>
      <c r="Q139" s="57"/>
    </row>
    <row r="140" customFormat="false" ht="18" hidden="false" customHeight="true" outlineLevel="0" collapsed="false">
      <c r="A140" s="57"/>
      <c r="B140" s="77" t="s">
        <v>190</v>
      </c>
      <c r="C140" s="78" t="n">
        <v>2048</v>
      </c>
      <c r="D140" s="79" t="n">
        <f aca="false">C140-C139</f>
        <v>18</v>
      </c>
      <c r="E140" s="89" t="n">
        <f aca="false">IFERROR((C140-C139)/C139,0)</f>
        <v>0.00886699507389163</v>
      </c>
      <c r="F140" s="81" t="n">
        <v>2</v>
      </c>
      <c r="G140" s="78" t="n">
        <v>2048</v>
      </c>
      <c r="H140" s="78" t="n">
        <v>16</v>
      </c>
      <c r="I140" s="82" t="n">
        <f aca="false">IFERROR(H140/G140,0)</f>
        <v>0.0078125</v>
      </c>
      <c r="J140" s="78" t="n">
        <v>8</v>
      </c>
      <c r="K140" s="78" t="n">
        <v>1</v>
      </c>
      <c r="L140" s="78" t="n">
        <v>3</v>
      </c>
      <c r="M140" s="78" t="n">
        <v>0</v>
      </c>
      <c r="N140" s="77" t="s">
        <v>204</v>
      </c>
      <c r="O140" s="57"/>
      <c r="P140" s="57"/>
      <c r="Q140" s="57"/>
    </row>
    <row r="141" customFormat="false" ht="18" hidden="false" customHeight="true" outlineLevel="0" collapsed="false">
      <c r="A141" s="57"/>
      <c r="B141" s="83" t="s">
        <v>191</v>
      </c>
      <c r="C141" s="84" t="n">
        <v>2064</v>
      </c>
      <c r="D141" s="85" t="n">
        <f aca="false">C141-C140</f>
        <v>16</v>
      </c>
      <c r="E141" s="86" t="n">
        <f aca="false">IFERROR((C141-C140)/C140,0)</f>
        <v>0.0078125</v>
      </c>
      <c r="F141" s="87" t="n">
        <v>2</v>
      </c>
      <c r="G141" s="84" t="n">
        <v>2064</v>
      </c>
      <c r="H141" s="84" t="n">
        <v>16</v>
      </c>
      <c r="I141" s="88" t="n">
        <f aca="false">IFERROR(H141/G141,0)</f>
        <v>0.00775193798449612</v>
      </c>
      <c r="J141" s="84" t="n">
        <v>8</v>
      </c>
      <c r="K141" s="84" t="n">
        <v>1</v>
      </c>
      <c r="L141" s="84" t="n">
        <v>3</v>
      </c>
      <c r="M141" s="84" t="n">
        <v>0</v>
      </c>
      <c r="N141" s="83" t="s">
        <v>204</v>
      </c>
      <c r="O141" s="57"/>
      <c r="P141" s="57"/>
      <c r="Q141" s="57"/>
    </row>
    <row r="142" customFormat="false" ht="18" hidden="false" customHeight="true" outlineLevel="0" collapsed="false">
      <c r="A142" s="57"/>
      <c r="B142" s="77" t="s">
        <v>192</v>
      </c>
      <c r="C142" s="78" t="n">
        <v>2082</v>
      </c>
      <c r="D142" s="79" t="n">
        <f aca="false">C142-C141</f>
        <v>18</v>
      </c>
      <c r="E142" s="89" t="n">
        <f aca="false">IFERROR((C142-C141)/C141,0)</f>
        <v>0.00872093023255814</v>
      </c>
      <c r="F142" s="81" t="n">
        <v>2</v>
      </c>
      <c r="G142" s="78" t="n">
        <v>2082</v>
      </c>
      <c r="H142" s="78" t="n">
        <v>16</v>
      </c>
      <c r="I142" s="82" t="n">
        <f aca="false">IFERROR(H142/G142,0)</f>
        <v>0.00768491834774256</v>
      </c>
      <c r="J142" s="78" t="n">
        <v>8</v>
      </c>
      <c r="K142" s="78" t="n">
        <v>1</v>
      </c>
      <c r="L142" s="78" t="n">
        <v>3</v>
      </c>
      <c r="M142" s="78" t="n">
        <v>0</v>
      </c>
      <c r="N142" s="77" t="s">
        <v>204</v>
      </c>
      <c r="O142" s="57"/>
      <c r="P142" s="57"/>
      <c r="Q142" s="57"/>
    </row>
    <row r="143" customFormat="false" ht="18" hidden="false" customHeight="true" outlineLevel="0" collapsed="false">
      <c r="A143" s="57"/>
      <c r="B143" s="83" t="s">
        <v>193</v>
      </c>
      <c r="C143" s="84" t="n">
        <v>2100</v>
      </c>
      <c r="D143" s="85" t="n">
        <f aca="false">C143-C142</f>
        <v>18</v>
      </c>
      <c r="E143" s="86" t="n">
        <f aca="false">IFERROR((C143-C142)/C142,0)</f>
        <v>0.00864553314121038</v>
      </c>
      <c r="F143" s="87" t="n">
        <v>2</v>
      </c>
      <c r="G143" s="84" t="n">
        <v>2100</v>
      </c>
      <c r="H143" s="84" t="n">
        <v>16</v>
      </c>
      <c r="I143" s="88" t="n">
        <f aca="false">IFERROR(H143/G143,0)</f>
        <v>0.00761904761904762</v>
      </c>
      <c r="J143" s="84" t="n">
        <v>8</v>
      </c>
      <c r="K143" s="84" t="n">
        <v>1</v>
      </c>
      <c r="L143" s="84" t="n">
        <v>3</v>
      </c>
      <c r="M143" s="84" t="n">
        <v>0</v>
      </c>
      <c r="N143" s="83" t="s">
        <v>204</v>
      </c>
      <c r="O143" s="57"/>
      <c r="P143" s="57"/>
      <c r="Q143" s="57"/>
    </row>
    <row r="144" customFormat="false" ht="18" hidden="false" customHeight="true" outlineLevel="0" collapsed="false">
      <c r="A144" s="57"/>
      <c r="B144" s="77" t="s">
        <v>194</v>
      </c>
      <c r="C144" s="78" t="n">
        <v>2116</v>
      </c>
      <c r="D144" s="79" t="n">
        <f aca="false">C144-C143</f>
        <v>16</v>
      </c>
      <c r="E144" s="89" t="n">
        <f aca="false">IFERROR((C144-C143)/C143,0)</f>
        <v>0.00761904761904762</v>
      </c>
      <c r="F144" s="81" t="n">
        <v>2</v>
      </c>
      <c r="G144" s="78" t="n">
        <v>2116</v>
      </c>
      <c r="H144" s="78" t="n">
        <v>16</v>
      </c>
      <c r="I144" s="82" t="n">
        <f aca="false">IFERROR(H144/G144,0)</f>
        <v>0.00756143667296786</v>
      </c>
      <c r="J144" s="78" t="n">
        <v>8</v>
      </c>
      <c r="K144" s="78" t="n">
        <v>1</v>
      </c>
      <c r="L144" s="78" t="n">
        <v>3</v>
      </c>
      <c r="M144" s="78" t="n">
        <v>0</v>
      </c>
      <c r="N144" s="77" t="s">
        <v>204</v>
      </c>
      <c r="O144" s="57"/>
      <c r="P144" s="57"/>
      <c r="Q144" s="57"/>
    </row>
    <row r="145" customFormat="false" ht="18" hidden="false" customHeight="true" outlineLevel="0" collapsed="false">
      <c r="A145" s="57"/>
      <c r="B145" s="83" t="s">
        <v>195</v>
      </c>
      <c r="C145" s="84" t="n">
        <v>2132</v>
      </c>
      <c r="D145" s="85" t="n">
        <f aca="false">C145-C144</f>
        <v>16</v>
      </c>
      <c r="E145" s="86" t="n">
        <f aca="false">IFERROR((C145-C144)/C144,0)</f>
        <v>0.00756143667296786</v>
      </c>
      <c r="F145" s="87" t="n">
        <v>2</v>
      </c>
      <c r="G145" s="84" t="n">
        <v>2132</v>
      </c>
      <c r="H145" s="84" t="n">
        <v>17</v>
      </c>
      <c r="I145" s="88" t="n">
        <f aca="false">IFERROR(H145/G145,0)</f>
        <v>0.00797373358348968</v>
      </c>
      <c r="J145" s="84" t="n">
        <v>8</v>
      </c>
      <c r="K145" s="84" t="n">
        <v>1</v>
      </c>
      <c r="L145" s="84" t="n">
        <v>3</v>
      </c>
      <c r="M145" s="84" t="n">
        <v>0</v>
      </c>
      <c r="N145" s="83" t="s">
        <v>204</v>
      </c>
      <c r="O145" s="57"/>
      <c r="P145" s="57"/>
      <c r="Q145" s="57"/>
    </row>
    <row r="146" customFormat="false" ht="18" hidden="false" customHeight="true" outlineLevel="0" collapsed="false">
      <c r="A146" s="57"/>
      <c r="B146" s="77" t="s">
        <v>196</v>
      </c>
      <c r="C146" s="78" t="n">
        <v>2148</v>
      </c>
      <c r="D146" s="79" t="n">
        <f aca="false">C146-C145</f>
        <v>16</v>
      </c>
      <c r="E146" s="89" t="n">
        <f aca="false">IFERROR((C146-C145)/C145,0)</f>
        <v>0.0075046904315197</v>
      </c>
      <c r="F146" s="81" t="n">
        <v>2</v>
      </c>
      <c r="G146" s="78" t="n">
        <v>2148</v>
      </c>
      <c r="H146" s="78" t="n">
        <v>17</v>
      </c>
      <c r="I146" s="82" t="n">
        <f aca="false">IFERROR(H146/G146,0)</f>
        <v>0.00791433891992551</v>
      </c>
      <c r="J146" s="78" t="n">
        <v>8</v>
      </c>
      <c r="K146" s="78" t="n">
        <v>1</v>
      </c>
      <c r="L146" s="78" t="n">
        <v>3</v>
      </c>
      <c r="M146" s="78" t="n">
        <v>0</v>
      </c>
      <c r="N146" s="77" t="s">
        <v>204</v>
      </c>
      <c r="O146" s="57"/>
      <c r="P146" s="57"/>
      <c r="Q146" s="57"/>
    </row>
    <row r="147" customFormat="false" ht="18" hidden="false" customHeight="true" outlineLevel="0" collapsed="false">
      <c r="A147" s="57"/>
      <c r="B147" s="83" t="s">
        <v>197</v>
      </c>
      <c r="C147" s="84" t="n">
        <v>2160</v>
      </c>
      <c r="D147" s="85" t="n">
        <f aca="false">C147-C146</f>
        <v>12</v>
      </c>
      <c r="E147" s="86" t="n">
        <f aca="false">IFERROR((C147-C146)/C146,0)</f>
        <v>0.00558659217877095</v>
      </c>
      <c r="F147" s="87" t="n">
        <v>2</v>
      </c>
      <c r="G147" s="84" t="n">
        <v>2160</v>
      </c>
      <c r="H147" s="84" t="n">
        <v>17</v>
      </c>
      <c r="I147" s="88" t="n">
        <f aca="false">IFERROR(H147/G147,0)</f>
        <v>0.00787037037037037</v>
      </c>
      <c r="J147" s="84" t="n">
        <v>8</v>
      </c>
      <c r="K147" s="84" t="n">
        <v>1</v>
      </c>
      <c r="L147" s="84" t="n">
        <v>3</v>
      </c>
      <c r="M147" s="84" t="n">
        <v>0</v>
      </c>
      <c r="N147" s="83" t="s">
        <v>204</v>
      </c>
      <c r="O147" s="57"/>
      <c r="P147" s="57"/>
      <c r="Q147" s="57"/>
    </row>
    <row r="148" customFormat="false" ht="18" hidden="false" customHeight="true" outlineLevel="0" collapsed="false">
      <c r="A148" s="57"/>
      <c r="B148" s="77" t="s">
        <v>198</v>
      </c>
      <c r="C148" s="78" t="n">
        <v>2172</v>
      </c>
      <c r="D148" s="79" t="n">
        <f aca="false">C148-C147</f>
        <v>12</v>
      </c>
      <c r="E148" s="89" t="n">
        <f aca="false">IFERROR((C148-C147)/C147,0)</f>
        <v>0.00555555555555556</v>
      </c>
      <c r="F148" s="81" t="n">
        <v>2</v>
      </c>
      <c r="G148" s="78" t="n">
        <v>2172</v>
      </c>
      <c r="H148" s="78" t="n">
        <v>17</v>
      </c>
      <c r="I148" s="82" t="n">
        <f aca="false">IFERROR(H148/G148,0)</f>
        <v>0.00782688766114181</v>
      </c>
      <c r="J148" s="78" t="n">
        <v>8</v>
      </c>
      <c r="K148" s="78" t="n">
        <v>1</v>
      </c>
      <c r="L148" s="78" t="n">
        <v>3</v>
      </c>
      <c r="M148" s="78" t="n">
        <v>0</v>
      </c>
      <c r="N148" s="77" t="s">
        <v>204</v>
      </c>
      <c r="O148" s="57"/>
      <c r="P148" s="57"/>
      <c r="Q148" s="57"/>
    </row>
    <row r="149" customFormat="false" ht="18" hidden="false" customHeight="true" outlineLevel="0" collapsed="false">
      <c r="A149" s="57"/>
      <c r="B149" s="83" t="s">
        <v>199</v>
      </c>
      <c r="C149" s="84" t="n">
        <v>2182</v>
      </c>
      <c r="D149" s="85" t="n">
        <f aca="false">C149-C148</f>
        <v>10</v>
      </c>
      <c r="E149" s="86" t="n">
        <f aca="false">IFERROR((C149-C148)/C148,0)</f>
        <v>0.00460405156537753</v>
      </c>
      <c r="F149" s="87" t="n">
        <v>2</v>
      </c>
      <c r="G149" s="84" t="n">
        <v>2182</v>
      </c>
      <c r="H149" s="84" t="n">
        <v>17</v>
      </c>
      <c r="I149" s="88" t="n">
        <f aca="false">IFERROR(H149/G149,0)</f>
        <v>0.0077910174152154</v>
      </c>
      <c r="J149" s="84" t="n">
        <v>8</v>
      </c>
      <c r="K149" s="84" t="n">
        <v>1</v>
      </c>
      <c r="L149" s="84" t="n">
        <v>3</v>
      </c>
      <c r="M149" s="84" t="n">
        <v>0</v>
      </c>
      <c r="N149" s="83" t="s">
        <v>204</v>
      </c>
      <c r="O149" s="57"/>
      <c r="P149" s="57"/>
      <c r="Q149" s="57"/>
    </row>
    <row r="150" customFormat="false" ht="18" hidden="false" customHeight="true" outlineLevel="0" collapsed="false">
      <c r="A150" s="57"/>
      <c r="B150" s="77" t="s">
        <v>200</v>
      </c>
      <c r="C150" s="78" t="n">
        <v>2192</v>
      </c>
      <c r="D150" s="79" t="n">
        <f aca="false">C150-C149</f>
        <v>10</v>
      </c>
      <c r="E150" s="89" t="n">
        <f aca="false">IFERROR((C150-C149)/C149,0)</f>
        <v>0.00458295142071494</v>
      </c>
      <c r="F150" s="81" t="n">
        <v>2</v>
      </c>
      <c r="G150" s="78" t="n">
        <v>2192</v>
      </c>
      <c r="H150" s="78" t="n">
        <v>17</v>
      </c>
      <c r="I150" s="82" t="n">
        <f aca="false">IFERROR(H150/G150,0)</f>
        <v>0.00775547445255475</v>
      </c>
      <c r="J150" s="78" t="n">
        <v>8</v>
      </c>
      <c r="K150" s="78" t="n">
        <v>1</v>
      </c>
      <c r="L150" s="78" t="n">
        <v>3</v>
      </c>
      <c r="M150" s="78" t="n">
        <v>0</v>
      </c>
      <c r="N150" s="77" t="s">
        <v>204</v>
      </c>
      <c r="O150" s="57"/>
      <c r="P150" s="57"/>
      <c r="Q150" s="57"/>
    </row>
    <row r="151" customFormat="false" ht="18" hidden="false" customHeight="true" outlineLevel="0" collapsed="false">
      <c r="A151" s="57"/>
      <c r="B151" s="83" t="s">
        <v>201</v>
      </c>
      <c r="C151" s="84" t="n">
        <v>2200</v>
      </c>
      <c r="D151" s="85" t="n">
        <f aca="false">C151-C150</f>
        <v>8</v>
      </c>
      <c r="E151" s="86" t="n">
        <f aca="false">IFERROR((C151-C150)/C150,0)</f>
        <v>0.00364963503649635</v>
      </c>
      <c r="F151" s="87" t="n">
        <v>2</v>
      </c>
      <c r="G151" s="84" t="n">
        <v>2200</v>
      </c>
      <c r="H151" s="84" t="n">
        <v>17</v>
      </c>
      <c r="I151" s="88" t="n">
        <f aca="false">IFERROR(H151/G151,0)</f>
        <v>0.00772727272727273</v>
      </c>
      <c r="J151" s="84" t="n">
        <v>8</v>
      </c>
      <c r="K151" s="84" t="n">
        <v>1</v>
      </c>
      <c r="L151" s="84" t="n">
        <v>3</v>
      </c>
      <c r="M151" s="84" t="n">
        <v>0</v>
      </c>
      <c r="N151" s="83" t="s">
        <v>204</v>
      </c>
      <c r="O151" s="57"/>
      <c r="P151" s="57"/>
      <c r="Q151" s="57"/>
    </row>
    <row r="152" customFormat="false" ht="18" hidden="false" customHeight="true" outlineLevel="0" collapsed="false">
      <c r="A152" s="57"/>
      <c r="B152" s="77" t="s">
        <v>61</v>
      </c>
      <c r="C152" s="78" t="n">
        <v>2206</v>
      </c>
      <c r="D152" s="79" t="n">
        <f aca="false">C152-C151</f>
        <v>6</v>
      </c>
      <c r="E152" s="89" t="n">
        <f aca="false">IFERROR((C152-C151)/C151,0)</f>
        <v>0.00272727272727273</v>
      </c>
      <c r="F152" s="81" t="n">
        <v>2</v>
      </c>
      <c r="G152" s="78" t="n">
        <v>2206</v>
      </c>
      <c r="H152" s="78" t="n">
        <v>17</v>
      </c>
      <c r="I152" s="82" t="n">
        <f aca="false">IFERROR(H152/G152,0)</f>
        <v>0.00770625566636446</v>
      </c>
      <c r="J152" s="78" t="n">
        <v>8</v>
      </c>
      <c r="K152" s="78" t="n">
        <v>1</v>
      </c>
      <c r="L152" s="78" t="n">
        <v>3</v>
      </c>
      <c r="M152" s="78" t="n">
        <v>0</v>
      </c>
      <c r="N152" s="77" t="s">
        <v>204</v>
      </c>
      <c r="O152" s="57"/>
      <c r="P152" s="57"/>
      <c r="Q152" s="57"/>
    </row>
    <row r="153" customFormat="false" ht="18" hidden="false" customHeight="true" outlineLevel="0" collapsed="false">
      <c r="A153" s="57"/>
      <c r="B153" s="83" t="s">
        <v>62</v>
      </c>
      <c r="C153" s="84" t="n">
        <v>2212</v>
      </c>
      <c r="D153" s="85" t="n">
        <f aca="false">C153-C152</f>
        <v>6</v>
      </c>
      <c r="E153" s="86" t="n">
        <f aca="false">IFERROR((C153-C152)/C152,0)</f>
        <v>0.00271985494106981</v>
      </c>
      <c r="F153" s="87" t="n">
        <v>2</v>
      </c>
      <c r="G153" s="84" t="n">
        <v>2212</v>
      </c>
      <c r="H153" s="84" t="n">
        <v>17</v>
      </c>
      <c r="I153" s="88" t="n">
        <f aca="false">IFERROR(H153/G153,0)</f>
        <v>0.00768535262206148</v>
      </c>
      <c r="J153" s="84" t="n">
        <v>8</v>
      </c>
      <c r="K153" s="84" t="n">
        <v>1</v>
      </c>
      <c r="L153" s="84" t="n">
        <v>3</v>
      </c>
      <c r="M153" s="84" t="n">
        <v>0</v>
      </c>
      <c r="N153" s="83" t="s">
        <v>204</v>
      </c>
      <c r="O153" s="57"/>
      <c r="P153" s="57"/>
      <c r="Q153" s="57"/>
    </row>
    <row r="154" customFormat="false" ht="18" hidden="false" customHeight="true" outlineLevel="0" collapsed="false">
      <c r="A154" s="57"/>
      <c r="B154" s="77" t="s">
        <v>63</v>
      </c>
      <c r="C154" s="78" t="n">
        <v>2218</v>
      </c>
      <c r="D154" s="79" t="n">
        <f aca="false">C154-C153</f>
        <v>6</v>
      </c>
      <c r="E154" s="89" t="n">
        <f aca="false">IFERROR((C154-C153)/C153,0)</f>
        <v>0.0027124773960217</v>
      </c>
      <c r="F154" s="81" t="n">
        <v>2</v>
      </c>
      <c r="G154" s="78" t="n">
        <v>2218</v>
      </c>
      <c r="H154" s="78" t="n">
        <v>17</v>
      </c>
      <c r="I154" s="82" t="n">
        <f aca="false">IFERROR(H154/G154,0)</f>
        <v>0.00766456266907124</v>
      </c>
      <c r="J154" s="78" t="n">
        <v>8</v>
      </c>
      <c r="K154" s="78" t="n">
        <v>1</v>
      </c>
      <c r="L154" s="78" t="n">
        <v>3</v>
      </c>
      <c r="M154" s="78" t="n">
        <v>0</v>
      </c>
      <c r="N154" s="77" t="s">
        <v>204</v>
      </c>
      <c r="O154" s="57"/>
      <c r="P154" s="57"/>
      <c r="Q154" s="57"/>
    </row>
    <row r="155" customFormat="false" ht="18" hidden="false" customHeight="true" outlineLevel="0" collapsed="false">
      <c r="A155" s="57"/>
      <c r="B155" s="83" t="s">
        <v>64</v>
      </c>
      <c r="C155" s="84" t="n">
        <v>2224</v>
      </c>
      <c r="D155" s="85" t="n">
        <f aca="false">C155-C154</f>
        <v>6</v>
      </c>
      <c r="E155" s="86" t="n">
        <f aca="false">IFERROR((C155-C154)/C154,0)</f>
        <v>0.00270513976555455</v>
      </c>
      <c r="F155" s="87" t="n">
        <v>2</v>
      </c>
      <c r="G155" s="84" t="n">
        <v>2224</v>
      </c>
      <c r="H155" s="84" t="n">
        <v>17</v>
      </c>
      <c r="I155" s="88" t="n">
        <f aca="false">IFERROR(H155/G155,0)</f>
        <v>0.00764388489208633</v>
      </c>
      <c r="J155" s="84" t="n">
        <v>8</v>
      </c>
      <c r="K155" s="84" t="n">
        <v>1</v>
      </c>
      <c r="L155" s="84" t="n">
        <v>3</v>
      </c>
      <c r="M155" s="84" t="n">
        <v>0</v>
      </c>
      <c r="N155" s="83" t="s">
        <v>204</v>
      </c>
      <c r="O155" s="57"/>
      <c r="P155" s="57"/>
      <c r="Q155" s="57"/>
    </row>
    <row r="156" customFormat="false" ht="18" hidden="false" customHeight="true" outlineLevel="0" collapsed="false">
      <c r="A156" s="57"/>
      <c r="B156" s="77" t="s">
        <v>65</v>
      </c>
      <c r="C156" s="78" t="n">
        <v>2230</v>
      </c>
      <c r="D156" s="79" t="n">
        <f aca="false">C156-C155</f>
        <v>6</v>
      </c>
      <c r="E156" s="89" t="n">
        <f aca="false">IFERROR((C156-C155)/C155,0)</f>
        <v>0.00269784172661871</v>
      </c>
      <c r="F156" s="81" t="n">
        <v>2</v>
      </c>
      <c r="G156" s="78" t="n">
        <v>2230</v>
      </c>
      <c r="H156" s="78" t="n">
        <v>17</v>
      </c>
      <c r="I156" s="82" t="n">
        <f aca="false">IFERROR(H156/G156,0)</f>
        <v>0.00762331838565022</v>
      </c>
      <c r="J156" s="78" t="n">
        <v>8</v>
      </c>
      <c r="K156" s="78" t="n">
        <v>1</v>
      </c>
      <c r="L156" s="78" t="n">
        <v>3</v>
      </c>
      <c r="M156" s="78" t="n">
        <v>0</v>
      </c>
      <c r="N156" s="77" t="s">
        <v>204</v>
      </c>
      <c r="O156" s="57"/>
      <c r="P156" s="57"/>
      <c r="Q156" s="57"/>
    </row>
    <row r="157" customFormat="false" ht="18" hidden="false" customHeight="true" outlineLevel="0" collapsed="false">
      <c r="A157" s="57"/>
      <c r="B157" s="83" t="s">
        <v>66</v>
      </c>
      <c r="C157" s="84" t="n">
        <v>2238</v>
      </c>
      <c r="D157" s="85" t="n">
        <f aca="false">C157-C156</f>
        <v>8</v>
      </c>
      <c r="E157" s="86" t="n">
        <f aca="false">IFERROR((C157-C156)/C156,0)</f>
        <v>0.00358744394618834</v>
      </c>
      <c r="F157" s="87" t="n">
        <v>2</v>
      </c>
      <c r="G157" s="84" t="n">
        <v>2238</v>
      </c>
      <c r="H157" s="84" t="n">
        <v>17</v>
      </c>
      <c r="I157" s="88" t="n">
        <f aca="false">IFERROR(H157/G157,0)</f>
        <v>0.00759606791778374</v>
      </c>
      <c r="J157" s="84" t="n">
        <v>8</v>
      </c>
      <c r="K157" s="84" t="n">
        <v>1</v>
      </c>
      <c r="L157" s="84" t="n">
        <v>3</v>
      </c>
      <c r="M157" s="84" t="n">
        <v>0</v>
      </c>
      <c r="N157" s="83" t="s">
        <v>204</v>
      </c>
      <c r="O157" s="57"/>
      <c r="P157" s="57"/>
      <c r="Q157" s="57"/>
    </row>
    <row r="158" customFormat="false" ht="15" hidden="false" customHeight="false" outlineLevel="0" collapsed="false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</row>
    <row r="159" customFormat="false" ht="15" hidden="false" customHeight="false" outlineLevel="0" collapsed="false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</row>
    <row r="160" customFormat="false" ht="15" hidden="false" customHeight="false" outlineLevel="0" collapsed="false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</row>
    <row r="161" customFormat="false" ht="15" hidden="false" customHeight="false" outlineLevel="0" collapsed="false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</row>
    <row r="162" customFormat="false" ht="15" hidden="false" customHeight="false" outlineLevel="0" collapsed="false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</row>
    <row r="163" customFormat="false" ht="15" hidden="false" customHeight="false" outlineLevel="0" collapsed="false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</row>
    <row r="164" customFormat="false" ht="15" hidden="false" customHeight="false" outlineLevel="0" collapsed="false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</row>
    <row r="165" customFormat="false" ht="15" hidden="false" customHeight="false" outlineLevel="0" collapsed="false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</row>
    <row r="166" customFormat="false" ht="15" hidden="false" customHeight="false" outlineLevel="0" collapsed="false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</row>
    <row r="167" customFormat="false" ht="15" hidden="false" customHeight="false" outlineLevel="0" collapsed="false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</row>
    <row r="168" customFormat="false" ht="15" hidden="false" customHeight="false" outlineLevel="0" collapsed="false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</row>
    <row r="169" customFormat="false" ht="15" hidden="false" customHeight="false" outlineLevel="0" collapsed="false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</row>
    <row r="170" customFormat="false" ht="15" hidden="false" customHeight="false" outlineLevel="0" collapsed="false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</row>
    <row r="171" customFormat="false" ht="15" hidden="false" customHeight="false" outlineLevel="0" collapsed="false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</row>
    <row r="172" customFormat="false" ht="15" hidden="false" customHeight="false" outlineLevel="0" collapsed="false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</row>
    <row r="173" customFormat="false" ht="15" hidden="false" customHeight="false" outlineLevel="0" collapsed="false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</row>
    <row r="174" customFormat="false" ht="15" hidden="false" customHeight="false" outlineLevel="0" collapsed="false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</row>
    <row r="175" customFormat="false" ht="15" hidden="false" customHeight="false" outlineLevel="0" collapsed="false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</row>
    <row r="176" customFormat="false" ht="15" hidden="false" customHeight="false" outlineLevel="0" collapsed="false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</row>
    <row r="177" customFormat="false" ht="15" hidden="false" customHeight="false" outlineLevel="0" collapsed="false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</row>
    <row r="178" customFormat="false" ht="15" hidden="false" customHeight="false" outlineLevel="0" collapsed="false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</row>
    <row r="179" customFormat="false" ht="15" hidden="false" customHeight="false" outlineLevel="0" collapsed="false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</row>
    <row r="180" customFormat="false" ht="15" hidden="false" customHeight="false" outlineLevel="0" collapsed="false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</row>
    <row r="181" customFormat="false" ht="15" hidden="false" customHeight="false" outlineLevel="0" collapsed="false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</row>
    <row r="182" customFormat="false" ht="15" hidden="false" customHeight="false" outlineLevel="0" collapsed="false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</row>
    <row r="183" customFormat="false" ht="15" hidden="false" customHeight="false" outlineLevel="0" collapsed="false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</row>
    <row r="184" customFormat="false" ht="15" hidden="false" customHeight="false" outlineLevel="0" collapsed="false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</row>
    <row r="185" customFormat="false" ht="15" hidden="false" customHeight="false" outlineLevel="0" collapsed="false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</row>
    <row r="186" customFormat="false" ht="15" hidden="false" customHeight="false" outlineLevel="0" collapsed="false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</row>
    <row r="187" customFormat="false" ht="15" hidden="false" customHeight="false" outlineLevel="0" collapsed="false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</row>
    <row r="188" customFormat="false" ht="15" hidden="false" customHeight="false" outlineLevel="0" collapsed="false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</row>
    <row r="189" customFormat="false" ht="15" hidden="false" customHeight="false" outlineLevel="0" collapsed="false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</row>
    <row r="190" customFormat="false" ht="15" hidden="false" customHeight="false" outlineLevel="0" collapsed="false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</row>
    <row r="191" customFormat="false" ht="15" hidden="false" customHeight="false" outlineLevel="0" collapsed="false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</row>
    <row r="192" customFormat="false" ht="15" hidden="false" customHeight="false" outlineLevel="0" collapsed="false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</row>
    <row r="193" customFormat="false" ht="15" hidden="false" customHeight="false" outlineLevel="0" collapsed="false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</row>
    <row r="194" customFormat="false" ht="15" hidden="false" customHeight="false" outlineLevel="0" collapsed="false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</row>
    <row r="195" customFormat="false" ht="15" hidden="false" customHeight="false" outlineLevel="0" collapsed="false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</row>
    <row r="196" customFormat="false" ht="15" hidden="false" customHeight="false" outlineLevel="0" collapsed="false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</row>
    <row r="197" customFormat="false" ht="15" hidden="false" customHeight="false" outlineLevel="0" collapsed="false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</row>
    <row r="198" customFormat="false" ht="15" hidden="false" customHeight="false" outlineLevel="0" collapsed="false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</row>
    <row r="199" customFormat="false" ht="15" hidden="false" customHeight="false" outlineLevel="0" collapsed="false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</row>
  </sheetData>
  <mergeCells count="7">
    <mergeCell ref="B1:N1"/>
    <mergeCell ref="B2:N2"/>
    <mergeCell ref="B4:N4"/>
    <mergeCell ref="B35:N35"/>
    <mergeCell ref="B66:N66"/>
    <mergeCell ref="B97:N97"/>
    <mergeCell ref="B128:N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48C"/>
    <pageSetUpPr fitToPage="false"/>
  </sheetPr>
  <dimension ref="A1:X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8" min="3" style="1" width="12"/>
    <col collapsed="false" customWidth="true" hidden="false" outlineLevel="0" max="9" min="9" style="1" width="2"/>
    <col collapsed="false" customWidth="true" hidden="false" outlineLevel="0" max="10" min="10" style="1" width="16"/>
    <col collapsed="false" customWidth="true" hidden="false" outlineLevel="0" max="15" min="11" style="1" width="12"/>
    <col collapsed="false" customWidth="true" hidden="false" outlineLevel="0" max="16" min="16" style="1" width="2"/>
  </cols>
  <sheetData>
    <row r="1" customFormat="false" ht="34.5" hidden="false" customHeight="true" outlineLevel="0" collapsed="false">
      <c r="A1" s="2"/>
      <c r="B1" s="94" t="s">
        <v>207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24.75" hidden="false" customHeight="true" outlineLevel="0" collapsed="false">
      <c r="A3" s="2"/>
      <c r="B3" s="95" t="s">
        <v>208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2"/>
      <c r="Q3" s="2"/>
      <c r="R3" s="2"/>
      <c r="S3" s="2"/>
      <c r="T3" s="2"/>
      <c r="U3" s="2"/>
      <c r="V3" s="2"/>
      <c r="W3" s="2"/>
      <c r="X3" s="2"/>
    </row>
    <row r="4" customFormat="false" ht="18" hidden="false" customHeight="true" outlineLevel="0" collapsed="false">
      <c r="A4" s="2"/>
      <c r="B4" s="96" t="s">
        <v>4</v>
      </c>
      <c r="C4" s="96" t="s">
        <v>209</v>
      </c>
      <c r="D4" s="96" t="s">
        <v>6</v>
      </c>
      <c r="E4" s="96" t="s">
        <v>83</v>
      </c>
      <c r="F4" s="96" t="s">
        <v>8</v>
      </c>
      <c r="G4" s="96" t="s">
        <v>210</v>
      </c>
      <c r="H4" s="96" t="s">
        <v>130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9.5" hidden="false" customHeight="true" outlineLevel="0" collapsed="false">
      <c r="A5" s="2"/>
      <c r="B5" s="97" t="n">
        <v>8664</v>
      </c>
      <c r="C5" s="98" t="s">
        <v>211</v>
      </c>
      <c r="D5" s="98" t="n">
        <v>3.8</v>
      </c>
      <c r="E5" s="98" t="s">
        <v>12</v>
      </c>
      <c r="F5" s="97" t="n">
        <v>14200</v>
      </c>
      <c r="G5" s="98" t="s">
        <v>212</v>
      </c>
      <c r="H5" s="42" t="s">
        <v>213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8" hidden="false" customHeight="true" outlineLevel="0" collapsed="false">
      <c r="A6" s="2"/>
      <c r="B6" s="99" t="s">
        <v>214</v>
      </c>
      <c r="C6" s="99"/>
      <c r="D6" s="99"/>
      <c r="E6" s="99"/>
      <c r="F6" s="99"/>
      <c r="G6" s="99"/>
      <c r="H6" s="99"/>
      <c r="I6" s="99" t="s">
        <v>215</v>
      </c>
      <c r="J6" s="99"/>
      <c r="K6" s="99"/>
      <c r="L6" s="99"/>
      <c r="M6" s="99"/>
      <c r="N6" s="99"/>
      <c r="O6" s="99"/>
      <c r="P6" s="2"/>
      <c r="Q6" s="2"/>
      <c r="R6" s="2"/>
      <c r="S6" s="2"/>
      <c r="T6" s="2"/>
      <c r="U6" s="2"/>
      <c r="V6" s="2"/>
      <c r="W6" s="2"/>
      <c r="X6" s="2"/>
    </row>
    <row r="7" customFormat="false" ht="18" hidden="false" customHeight="true" outlineLevel="0" collapsed="false">
      <c r="A7" s="2"/>
      <c r="B7" s="100" t="s">
        <v>216</v>
      </c>
      <c r="C7" s="100"/>
      <c r="D7" s="100"/>
      <c r="E7" s="100"/>
      <c r="F7" s="100"/>
      <c r="G7" s="100"/>
      <c r="H7" s="100"/>
      <c r="I7" s="101" t="s">
        <v>217</v>
      </c>
      <c r="J7" s="101"/>
      <c r="K7" s="101"/>
      <c r="L7" s="101"/>
      <c r="M7" s="101"/>
      <c r="N7" s="101"/>
      <c r="O7" s="101"/>
      <c r="P7" s="2"/>
      <c r="Q7" s="2"/>
      <c r="R7" s="2"/>
      <c r="S7" s="2"/>
      <c r="T7" s="2"/>
      <c r="U7" s="2"/>
      <c r="V7" s="2"/>
      <c r="W7" s="2"/>
      <c r="X7" s="2"/>
    </row>
    <row r="8" customFormat="false" ht="18" hidden="false" customHeight="true" outlineLevel="0" collapsed="false">
      <c r="A8" s="2"/>
      <c r="B8" s="102" t="s">
        <v>218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24.75" hidden="false" customHeight="true" outlineLevel="0" collapsed="false">
      <c r="A10" s="2"/>
      <c r="B10" s="103" t="s">
        <v>219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8" hidden="false" customHeight="true" outlineLevel="0" collapsed="false">
      <c r="A11" s="2"/>
      <c r="B11" s="96" t="s">
        <v>4</v>
      </c>
      <c r="C11" s="96" t="s">
        <v>209</v>
      </c>
      <c r="D11" s="96" t="s">
        <v>6</v>
      </c>
      <c r="E11" s="96" t="s">
        <v>83</v>
      </c>
      <c r="F11" s="96" t="s">
        <v>8</v>
      </c>
      <c r="G11" s="96" t="s">
        <v>210</v>
      </c>
      <c r="H11" s="96" t="s">
        <v>130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9.5" hidden="false" customHeight="true" outlineLevel="0" collapsed="false">
      <c r="A12" s="2"/>
      <c r="B12" s="97" t="n">
        <v>3124</v>
      </c>
      <c r="C12" s="98" t="s">
        <v>220</v>
      </c>
      <c r="D12" s="98" t="n">
        <v>4.2</v>
      </c>
      <c r="E12" s="98" t="s">
        <v>16</v>
      </c>
      <c r="F12" s="97" t="n">
        <v>5600</v>
      </c>
      <c r="G12" s="98" t="s">
        <v>221</v>
      </c>
      <c r="H12" s="42" t="s">
        <v>213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8" hidden="false" customHeight="true" outlineLevel="0" collapsed="false">
      <c r="A13" s="2"/>
      <c r="B13" s="99" t="s">
        <v>214</v>
      </c>
      <c r="C13" s="99"/>
      <c r="D13" s="99"/>
      <c r="E13" s="99"/>
      <c r="F13" s="99"/>
      <c r="G13" s="99"/>
      <c r="H13" s="99"/>
      <c r="I13" s="99" t="s">
        <v>215</v>
      </c>
      <c r="J13" s="99"/>
      <c r="K13" s="99"/>
      <c r="L13" s="99"/>
      <c r="M13" s="99"/>
      <c r="N13" s="99"/>
      <c r="O13" s="99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8" hidden="false" customHeight="true" outlineLevel="0" collapsed="false">
      <c r="A14" s="2"/>
      <c r="B14" s="100" t="s">
        <v>222</v>
      </c>
      <c r="C14" s="100"/>
      <c r="D14" s="100"/>
      <c r="E14" s="100"/>
      <c r="F14" s="100"/>
      <c r="G14" s="100"/>
      <c r="H14" s="100"/>
      <c r="I14" s="104" t="s">
        <v>223</v>
      </c>
      <c r="J14" s="104"/>
      <c r="K14" s="104"/>
      <c r="L14" s="104"/>
      <c r="M14" s="104"/>
      <c r="N14" s="104"/>
      <c r="O14" s="104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8" hidden="false" customHeight="true" outlineLevel="0" collapsed="false">
      <c r="A15" s="2"/>
      <c r="B15" s="102" t="s">
        <v>224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24.75" hidden="false" customHeight="true" outlineLevel="0" collapsed="false">
      <c r="A17" s="2"/>
      <c r="B17" s="105" t="s">
        <v>225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8" hidden="false" customHeight="true" outlineLevel="0" collapsed="false">
      <c r="A18" s="2"/>
      <c r="B18" s="96" t="s">
        <v>4</v>
      </c>
      <c r="C18" s="96" t="s">
        <v>209</v>
      </c>
      <c r="D18" s="96" t="s">
        <v>6</v>
      </c>
      <c r="E18" s="96" t="s">
        <v>83</v>
      </c>
      <c r="F18" s="96" t="s">
        <v>8</v>
      </c>
      <c r="G18" s="96" t="s">
        <v>210</v>
      </c>
      <c r="H18" s="96" t="s">
        <v>130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9.5" hidden="false" customHeight="true" outlineLevel="0" collapsed="false">
      <c r="A19" s="2"/>
      <c r="B19" s="97" t="n">
        <v>1284</v>
      </c>
      <c r="C19" s="98" t="s">
        <v>226</v>
      </c>
      <c r="D19" s="98" t="n">
        <v>1.5</v>
      </c>
      <c r="E19" s="98" t="s">
        <v>20</v>
      </c>
      <c r="F19" s="97" t="n">
        <v>1800</v>
      </c>
      <c r="G19" s="98" t="s">
        <v>212</v>
      </c>
      <c r="H19" s="106" t="s">
        <v>227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8" hidden="false" customHeight="true" outlineLevel="0" collapsed="false">
      <c r="A20" s="2"/>
      <c r="B20" s="99" t="s">
        <v>214</v>
      </c>
      <c r="C20" s="99"/>
      <c r="D20" s="99"/>
      <c r="E20" s="99"/>
      <c r="F20" s="99"/>
      <c r="G20" s="99"/>
      <c r="H20" s="99"/>
      <c r="I20" s="99" t="s">
        <v>215</v>
      </c>
      <c r="J20" s="99"/>
      <c r="K20" s="99"/>
      <c r="L20" s="99"/>
      <c r="M20" s="99"/>
      <c r="N20" s="99"/>
      <c r="O20" s="99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8" hidden="false" customHeight="true" outlineLevel="0" collapsed="false">
      <c r="A21" s="2"/>
      <c r="B21" s="100" t="s">
        <v>228</v>
      </c>
      <c r="C21" s="100"/>
      <c r="D21" s="100"/>
      <c r="E21" s="100"/>
      <c r="F21" s="100"/>
      <c r="G21" s="100"/>
      <c r="H21" s="100"/>
      <c r="I21" s="107" t="s">
        <v>229</v>
      </c>
      <c r="J21" s="107"/>
      <c r="K21" s="107"/>
      <c r="L21" s="107"/>
      <c r="M21" s="107"/>
      <c r="N21" s="107"/>
      <c r="O21" s="107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8" hidden="false" customHeight="true" outlineLevel="0" collapsed="false">
      <c r="A22" s="2"/>
      <c r="B22" s="102" t="s">
        <v>230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24.75" hidden="false" customHeight="true" outlineLevel="0" collapsed="false">
      <c r="A24" s="2"/>
      <c r="B24" s="108" t="s">
        <v>231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8" hidden="false" customHeight="true" outlineLevel="0" collapsed="false">
      <c r="A25" s="2"/>
      <c r="B25" s="96" t="s">
        <v>4</v>
      </c>
      <c r="C25" s="96" t="s">
        <v>209</v>
      </c>
      <c r="D25" s="96" t="s">
        <v>6</v>
      </c>
      <c r="E25" s="96" t="s">
        <v>83</v>
      </c>
      <c r="F25" s="96" t="s">
        <v>8</v>
      </c>
      <c r="G25" s="96" t="s">
        <v>210</v>
      </c>
      <c r="H25" s="96" t="s">
        <v>130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9.5" hidden="false" customHeight="true" outlineLevel="0" collapsed="false">
      <c r="A26" s="2"/>
      <c r="B26" s="97" t="n">
        <v>4820</v>
      </c>
      <c r="C26" s="98" t="s">
        <v>232</v>
      </c>
      <c r="D26" s="98" t="n">
        <v>2</v>
      </c>
      <c r="E26" s="98" t="s">
        <v>23</v>
      </c>
      <c r="F26" s="97" t="n">
        <v>9800</v>
      </c>
      <c r="G26" s="98" t="s">
        <v>233</v>
      </c>
      <c r="H26" s="42" t="s">
        <v>234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8" hidden="false" customHeight="true" outlineLevel="0" collapsed="false">
      <c r="A27" s="2"/>
      <c r="B27" s="99" t="s">
        <v>214</v>
      </c>
      <c r="C27" s="99"/>
      <c r="D27" s="99"/>
      <c r="E27" s="99"/>
      <c r="F27" s="99"/>
      <c r="G27" s="99"/>
      <c r="H27" s="99"/>
      <c r="I27" s="99" t="s">
        <v>215</v>
      </c>
      <c r="J27" s="99"/>
      <c r="K27" s="99"/>
      <c r="L27" s="99"/>
      <c r="M27" s="99"/>
      <c r="N27" s="99"/>
      <c r="O27" s="99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8" hidden="false" customHeight="true" outlineLevel="0" collapsed="false">
      <c r="A28" s="2"/>
      <c r="B28" s="100" t="s">
        <v>235</v>
      </c>
      <c r="C28" s="100"/>
      <c r="D28" s="100"/>
      <c r="E28" s="100"/>
      <c r="F28" s="100"/>
      <c r="G28" s="100"/>
      <c r="H28" s="100"/>
      <c r="I28" s="109" t="s">
        <v>236</v>
      </c>
      <c r="J28" s="109"/>
      <c r="K28" s="109"/>
      <c r="L28" s="109"/>
      <c r="M28" s="109"/>
      <c r="N28" s="109"/>
      <c r="O28" s="109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8" hidden="false" customHeight="true" outlineLevel="0" collapsed="false">
      <c r="A29" s="2"/>
      <c r="B29" s="102" t="s">
        <v>237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24.75" hidden="false" customHeight="true" outlineLevel="0" collapsed="false">
      <c r="A31" s="2"/>
      <c r="B31" s="110" t="s">
        <v>238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8" hidden="false" customHeight="true" outlineLevel="0" collapsed="false">
      <c r="A32" s="2"/>
      <c r="B32" s="96" t="s">
        <v>4</v>
      </c>
      <c r="C32" s="96" t="s">
        <v>209</v>
      </c>
      <c r="D32" s="96" t="s">
        <v>6</v>
      </c>
      <c r="E32" s="96" t="s">
        <v>83</v>
      </c>
      <c r="F32" s="96" t="s">
        <v>8</v>
      </c>
      <c r="G32" s="96" t="s">
        <v>210</v>
      </c>
      <c r="H32" s="96" t="s">
        <v>130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9.5" hidden="false" customHeight="true" outlineLevel="0" collapsed="false">
      <c r="A33" s="2"/>
      <c r="B33" s="97" t="n">
        <v>2218</v>
      </c>
      <c r="C33" s="98" t="s">
        <v>239</v>
      </c>
      <c r="D33" s="98" t="n">
        <v>1.8</v>
      </c>
      <c r="E33" s="98" t="s">
        <v>27</v>
      </c>
      <c r="F33" s="97" t="n">
        <v>2200</v>
      </c>
      <c r="G33" s="98" t="s">
        <v>240</v>
      </c>
      <c r="H33" s="106" t="s">
        <v>227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8" hidden="false" customHeight="true" outlineLevel="0" collapsed="false">
      <c r="A34" s="2"/>
      <c r="B34" s="99" t="s">
        <v>214</v>
      </c>
      <c r="C34" s="99"/>
      <c r="D34" s="99"/>
      <c r="E34" s="99"/>
      <c r="F34" s="99"/>
      <c r="G34" s="99"/>
      <c r="H34" s="99"/>
      <c r="I34" s="99" t="s">
        <v>215</v>
      </c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8" hidden="false" customHeight="true" outlineLevel="0" collapsed="false">
      <c r="A35" s="2"/>
      <c r="B35" s="100" t="s">
        <v>241</v>
      </c>
      <c r="C35" s="100"/>
      <c r="D35" s="100"/>
      <c r="E35" s="100"/>
      <c r="F35" s="100"/>
      <c r="G35" s="100"/>
      <c r="H35" s="100"/>
      <c r="I35" s="111" t="s">
        <v>242</v>
      </c>
      <c r="J35" s="111"/>
      <c r="K35" s="111"/>
      <c r="L35" s="111"/>
      <c r="M35" s="111"/>
      <c r="N35" s="111"/>
      <c r="O35" s="111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8" hidden="false" customHeight="true" outlineLevel="0" collapsed="false">
      <c r="A36" s="2"/>
      <c r="B36" s="102" t="s">
        <v>243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</sheetData>
  <mergeCells count="31">
    <mergeCell ref="B1:O1"/>
    <mergeCell ref="B3:O3"/>
    <mergeCell ref="B6:H6"/>
    <mergeCell ref="I6:O6"/>
    <mergeCell ref="B7:H7"/>
    <mergeCell ref="I7:O7"/>
    <mergeCell ref="B8:O8"/>
    <mergeCell ref="B10:O10"/>
    <mergeCell ref="B13:H13"/>
    <mergeCell ref="I13:O13"/>
    <mergeCell ref="B14:H14"/>
    <mergeCell ref="I14:O14"/>
    <mergeCell ref="B15:O15"/>
    <mergeCell ref="B17:O17"/>
    <mergeCell ref="B20:H20"/>
    <mergeCell ref="I20:O20"/>
    <mergeCell ref="B21:H21"/>
    <mergeCell ref="I21:O21"/>
    <mergeCell ref="B22:O22"/>
    <mergeCell ref="B24:O24"/>
    <mergeCell ref="B27:H27"/>
    <mergeCell ref="I27:O27"/>
    <mergeCell ref="B28:H28"/>
    <mergeCell ref="I28:O28"/>
    <mergeCell ref="B29:O29"/>
    <mergeCell ref="B31:O31"/>
    <mergeCell ref="B34:H34"/>
    <mergeCell ref="I34:O34"/>
    <mergeCell ref="B35:H35"/>
    <mergeCell ref="I35:O35"/>
    <mergeCell ref="B36:O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CB6E"/>
    <pageSetUpPr fitToPage="false"/>
  </sheetPr>
  <dimension ref="A1:S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60"/>
    <col collapsed="false" customWidth="true" hidden="false" outlineLevel="0" max="5" min="5" style="1" width="20"/>
    <col collapsed="false" customWidth="true" hidden="false" outlineLevel="0" max="6" min="6" style="1" width="2"/>
  </cols>
  <sheetData>
    <row r="1" customFormat="false" ht="34.5" hidden="false" customHeight="true" outlineLevel="0" collapsed="false">
      <c r="A1" s="2"/>
      <c r="B1" s="94" t="s">
        <v>244</v>
      </c>
      <c r="C1" s="94"/>
      <c r="D1" s="94"/>
      <c r="E1" s="9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1.75" hidden="false" customHeight="true" outlineLevel="0" collapsed="false">
      <c r="A2" s="2"/>
      <c r="B2" s="112" t="s">
        <v>245</v>
      </c>
      <c r="C2" s="112"/>
      <c r="D2" s="112"/>
      <c r="E2" s="1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21.75" hidden="false" customHeight="true" outlineLevel="0" collapsed="false">
      <c r="A4" s="2"/>
      <c r="B4" s="5" t="s">
        <v>246</v>
      </c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9.5" hidden="false" customHeight="true" outlineLevel="0" collapsed="false">
      <c r="A5" s="2"/>
      <c r="B5" s="6" t="s">
        <v>247</v>
      </c>
      <c r="C5" s="6" t="s">
        <v>130</v>
      </c>
      <c r="D5" s="6" t="s">
        <v>248</v>
      </c>
      <c r="E5" s="6" t="s">
        <v>249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45" hidden="false" customHeight="true" outlineLevel="0" collapsed="false">
      <c r="A6" s="2"/>
      <c r="B6" s="113" t="s">
        <v>250</v>
      </c>
      <c r="C6" s="42" t="s">
        <v>251</v>
      </c>
      <c r="D6" s="114" t="s">
        <v>252</v>
      </c>
      <c r="E6" s="42" t="s">
        <v>253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45" hidden="false" customHeight="true" outlineLevel="0" collapsed="false">
      <c r="A7" s="2"/>
      <c r="B7" s="115" t="s">
        <v>254</v>
      </c>
      <c r="C7" s="40" t="s">
        <v>255</v>
      </c>
      <c r="D7" s="116" t="s">
        <v>256</v>
      </c>
      <c r="E7" s="40" t="s">
        <v>257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45" hidden="false" customHeight="true" outlineLevel="0" collapsed="false">
      <c r="A8" s="2"/>
      <c r="B8" s="113" t="s">
        <v>258</v>
      </c>
      <c r="C8" s="117" t="s">
        <v>255</v>
      </c>
      <c r="D8" s="114" t="s">
        <v>259</v>
      </c>
      <c r="E8" s="117" t="s">
        <v>260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45" hidden="false" customHeight="true" outlineLevel="0" collapsed="false">
      <c r="A9" s="2"/>
      <c r="B9" s="115" t="s">
        <v>261</v>
      </c>
      <c r="C9" s="40" t="s">
        <v>255</v>
      </c>
      <c r="D9" s="116" t="s">
        <v>262</v>
      </c>
      <c r="E9" s="40" t="s">
        <v>257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45" hidden="false" customHeight="true" outlineLevel="0" collapsed="false">
      <c r="A10" s="2"/>
      <c r="B10" s="113" t="s">
        <v>263</v>
      </c>
      <c r="C10" s="117" t="s">
        <v>255</v>
      </c>
      <c r="D10" s="114" t="s">
        <v>264</v>
      </c>
      <c r="E10" s="117" t="s">
        <v>260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false" ht="45" hidden="false" customHeight="true" outlineLevel="0" collapsed="false">
      <c r="A11" s="2"/>
      <c r="B11" s="115" t="s">
        <v>265</v>
      </c>
      <c r="C11" s="118" t="s">
        <v>266</v>
      </c>
      <c r="D11" s="116" t="s">
        <v>267</v>
      </c>
      <c r="E11" s="118" t="s">
        <v>268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45" hidden="false" customHeight="true" outlineLevel="0" collapsed="false">
      <c r="A12" s="2"/>
      <c r="B12" s="113" t="s">
        <v>269</v>
      </c>
      <c r="C12" s="106" t="s">
        <v>266</v>
      </c>
      <c r="D12" s="114" t="s">
        <v>270</v>
      </c>
      <c r="E12" s="106" t="s">
        <v>271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45" hidden="false" customHeight="true" outlineLevel="0" collapsed="false">
      <c r="A13" s="2"/>
      <c r="B13" s="115" t="s">
        <v>272</v>
      </c>
      <c r="C13" s="118" t="s">
        <v>266</v>
      </c>
      <c r="D13" s="116" t="s">
        <v>273</v>
      </c>
      <c r="E13" s="118" t="s">
        <v>268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45" hidden="false" customHeight="true" outlineLevel="0" collapsed="false">
      <c r="A14" s="2"/>
      <c r="B14" s="113" t="s">
        <v>274</v>
      </c>
      <c r="C14" s="117" t="s">
        <v>255</v>
      </c>
      <c r="D14" s="114" t="s">
        <v>275</v>
      </c>
      <c r="E14" s="117" t="s">
        <v>260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45" hidden="false" customHeight="true" outlineLevel="0" collapsed="false">
      <c r="A15" s="2"/>
      <c r="B15" s="115" t="s">
        <v>276</v>
      </c>
      <c r="C15" s="45" t="s">
        <v>251</v>
      </c>
      <c r="D15" s="116" t="s">
        <v>277</v>
      </c>
      <c r="E15" s="45" t="s">
        <v>278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45" hidden="false" customHeight="true" outlineLevel="0" collapsed="false">
      <c r="A16" s="2"/>
      <c r="B16" s="113" t="s">
        <v>279</v>
      </c>
      <c r="C16" s="119" t="s">
        <v>280</v>
      </c>
      <c r="D16" s="114" t="s">
        <v>281</v>
      </c>
      <c r="E16" s="119" t="s">
        <v>282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21.75" hidden="false" customHeight="true" outlineLevel="0" collapsed="false">
      <c r="A18" s="2"/>
      <c r="B18" s="5" t="s">
        <v>283</v>
      </c>
      <c r="C18" s="5"/>
      <c r="D18" s="5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30" hidden="false" customHeight="true" outlineLevel="0" collapsed="false">
      <c r="A19" s="2"/>
      <c r="B19" s="120" t="s">
        <v>4</v>
      </c>
      <c r="C19" s="25" t="s">
        <v>284</v>
      </c>
      <c r="D19" s="25"/>
      <c r="E19" s="121" t="s">
        <v>285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30" hidden="false" customHeight="true" outlineLevel="0" collapsed="false">
      <c r="A20" s="2"/>
      <c r="B20" s="120" t="s">
        <v>286</v>
      </c>
      <c r="C20" s="28" t="s">
        <v>287</v>
      </c>
      <c r="D20" s="28"/>
      <c r="E20" s="122" t="s">
        <v>285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30" hidden="false" customHeight="true" outlineLevel="0" collapsed="false">
      <c r="A21" s="2"/>
      <c r="B21" s="120" t="s">
        <v>79</v>
      </c>
      <c r="C21" s="25" t="s">
        <v>288</v>
      </c>
      <c r="D21" s="25"/>
      <c r="E21" s="121" t="s">
        <v>285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30" hidden="false" customHeight="true" outlineLevel="0" collapsed="false">
      <c r="A22" s="2"/>
      <c r="B22" s="120" t="s">
        <v>174</v>
      </c>
      <c r="C22" s="28" t="s">
        <v>289</v>
      </c>
      <c r="D22" s="28"/>
      <c r="E22" s="122" t="s">
        <v>285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30" hidden="false" customHeight="true" outlineLevel="0" collapsed="false">
      <c r="A23" s="2"/>
      <c r="B23" s="120" t="s">
        <v>290</v>
      </c>
      <c r="C23" s="25" t="s">
        <v>291</v>
      </c>
      <c r="D23" s="25"/>
      <c r="E23" s="121" t="s">
        <v>285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30" hidden="false" customHeight="true" outlineLevel="0" collapsed="false">
      <c r="A24" s="2"/>
      <c r="B24" s="120" t="s">
        <v>292</v>
      </c>
      <c r="C24" s="28" t="s">
        <v>293</v>
      </c>
      <c r="D24" s="28"/>
      <c r="E24" s="122" t="s">
        <v>294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30" hidden="false" customHeight="true" outlineLevel="0" collapsed="false">
      <c r="A25" s="2"/>
      <c r="B25" s="120" t="s">
        <v>295</v>
      </c>
      <c r="C25" s="25" t="s">
        <v>296</v>
      </c>
      <c r="D25" s="25"/>
      <c r="E25" s="121" t="s">
        <v>297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30" hidden="false" customHeight="true" outlineLevel="0" collapsed="false">
      <c r="A26" s="2"/>
      <c r="B26" s="120" t="s">
        <v>8</v>
      </c>
      <c r="C26" s="28" t="s">
        <v>298</v>
      </c>
      <c r="D26" s="28"/>
      <c r="E26" s="122" t="s">
        <v>285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</sheetData>
  <mergeCells count="12">
    <mergeCell ref="B1:E1"/>
    <mergeCell ref="B2:E2"/>
    <mergeCell ref="B4:E4"/>
    <mergeCell ref="B18:E18"/>
    <mergeCell ref="C19:D19"/>
    <mergeCell ref="C20:D20"/>
    <mergeCell ref="C21:D21"/>
    <mergeCell ref="C22:D22"/>
    <mergeCell ref="C23:D23"/>
    <mergeCell ref="C24:D24"/>
    <mergeCell ref="C25:D25"/>
    <mergeCell ref="C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D8"/>
    <pageSetUpPr fitToPage="false"/>
  </sheetPr>
  <dimension ref="A1:S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10" min="6" style="1" width="14"/>
    <col collapsed="false" customWidth="true" hidden="false" outlineLevel="0" max="11" min="11" style="1" width="2"/>
  </cols>
  <sheetData>
    <row r="1" customFormat="false" ht="34.5" hidden="false" customHeight="true" outlineLevel="0" collapsed="false">
      <c r="A1" s="2"/>
      <c r="B1" s="94" t="s">
        <v>299</v>
      </c>
      <c r="C1" s="94"/>
      <c r="D1" s="94"/>
      <c r="E1" s="94"/>
      <c r="F1" s="94"/>
      <c r="G1" s="94"/>
      <c r="H1" s="94"/>
      <c r="I1" s="94"/>
      <c r="J1" s="94"/>
      <c r="K1" s="2"/>
      <c r="L1" s="2"/>
      <c r="M1" s="2"/>
      <c r="N1" s="2"/>
      <c r="O1" s="2"/>
      <c r="P1" s="2"/>
      <c r="Q1" s="2"/>
      <c r="R1" s="2"/>
      <c r="S1" s="2"/>
    </row>
    <row r="2" customFormat="false" ht="21.75" hidden="false" customHeight="true" outlineLevel="0" collapsed="false">
      <c r="A2" s="2"/>
      <c r="B2" s="6" t="s">
        <v>300</v>
      </c>
      <c r="C2" s="6" t="s">
        <v>76</v>
      </c>
      <c r="D2" s="6" t="s">
        <v>301</v>
      </c>
      <c r="E2" s="6" t="s">
        <v>302</v>
      </c>
      <c r="F2" s="6" t="s">
        <v>303</v>
      </c>
      <c r="G2" s="6" t="s">
        <v>130</v>
      </c>
      <c r="H2" s="6" t="s">
        <v>304</v>
      </c>
      <c r="I2" s="6" t="s">
        <v>305</v>
      </c>
      <c r="J2" s="6" t="s">
        <v>9</v>
      </c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2"/>
      <c r="B3" s="123" t="s">
        <v>306</v>
      </c>
      <c r="C3" s="123" t="s">
        <v>307</v>
      </c>
      <c r="D3" s="123" t="s">
        <v>308</v>
      </c>
      <c r="E3" s="123" t="s">
        <v>309</v>
      </c>
      <c r="F3" s="123" t="s">
        <v>87</v>
      </c>
      <c r="G3" s="42" t="s">
        <v>310</v>
      </c>
      <c r="H3" s="123" t="s">
        <v>311</v>
      </c>
      <c r="I3" s="123" t="s">
        <v>312</v>
      </c>
      <c r="J3" s="106" t="s">
        <v>13</v>
      </c>
      <c r="K3" s="2"/>
      <c r="L3" s="2"/>
      <c r="M3" s="2"/>
      <c r="N3" s="2"/>
      <c r="O3" s="2"/>
      <c r="P3" s="2"/>
      <c r="Q3" s="2"/>
      <c r="R3" s="2"/>
      <c r="S3" s="2"/>
    </row>
    <row r="4" customFormat="false" ht="21.75" hidden="false" customHeight="true" outlineLevel="0" collapsed="false">
      <c r="A4" s="2"/>
      <c r="B4" s="124" t="s">
        <v>306</v>
      </c>
      <c r="C4" s="124" t="s">
        <v>313</v>
      </c>
      <c r="D4" s="124" t="s">
        <v>14</v>
      </c>
      <c r="E4" s="124" t="s">
        <v>314</v>
      </c>
      <c r="F4" s="124" t="s">
        <v>105</v>
      </c>
      <c r="G4" s="40" t="s">
        <v>315</v>
      </c>
      <c r="H4" s="124" t="s">
        <v>316</v>
      </c>
      <c r="I4" s="124" t="s">
        <v>317</v>
      </c>
      <c r="J4" s="40" t="s">
        <v>318</v>
      </c>
      <c r="K4" s="2"/>
      <c r="L4" s="2"/>
      <c r="M4" s="2"/>
      <c r="N4" s="2"/>
      <c r="O4" s="2"/>
      <c r="P4" s="2"/>
      <c r="Q4" s="2"/>
      <c r="R4" s="2"/>
      <c r="S4" s="2"/>
    </row>
    <row r="5" customFormat="false" ht="21.75" hidden="false" customHeight="true" outlineLevel="0" collapsed="false">
      <c r="A5" s="2"/>
      <c r="B5" s="123" t="s">
        <v>306</v>
      </c>
      <c r="C5" s="123" t="s">
        <v>319</v>
      </c>
      <c r="D5" s="123" t="s">
        <v>70</v>
      </c>
      <c r="E5" s="123" t="s">
        <v>320</v>
      </c>
      <c r="F5" s="123" t="s">
        <v>321</v>
      </c>
      <c r="G5" s="106" t="s">
        <v>322</v>
      </c>
      <c r="H5" s="123" t="s">
        <v>323</v>
      </c>
      <c r="I5" s="123" t="s">
        <v>324</v>
      </c>
      <c r="J5" s="117" t="s">
        <v>318</v>
      </c>
      <c r="K5" s="2"/>
      <c r="L5" s="2"/>
      <c r="M5" s="2"/>
      <c r="N5" s="2"/>
      <c r="O5" s="2"/>
      <c r="P5" s="2"/>
      <c r="Q5" s="2"/>
      <c r="R5" s="2"/>
      <c r="S5" s="2"/>
    </row>
    <row r="6" customFormat="false" ht="21.75" hidden="false" customHeight="true" outlineLevel="0" collapsed="false">
      <c r="A6" s="2"/>
      <c r="B6" s="124" t="s">
        <v>325</v>
      </c>
      <c r="C6" s="124" t="s">
        <v>326</v>
      </c>
      <c r="D6" s="124" t="s">
        <v>10</v>
      </c>
      <c r="E6" s="124" t="s">
        <v>327</v>
      </c>
      <c r="F6" s="124" t="s">
        <v>123</v>
      </c>
      <c r="G6" s="45" t="s">
        <v>310</v>
      </c>
      <c r="H6" s="124" t="s">
        <v>328</v>
      </c>
      <c r="I6" s="124" t="s">
        <v>329</v>
      </c>
      <c r="J6" s="118" t="s">
        <v>13</v>
      </c>
      <c r="K6" s="2"/>
      <c r="L6" s="2"/>
      <c r="M6" s="2"/>
      <c r="N6" s="2"/>
      <c r="O6" s="2"/>
      <c r="P6" s="2"/>
      <c r="Q6" s="2"/>
      <c r="R6" s="2"/>
      <c r="S6" s="2"/>
    </row>
    <row r="7" customFormat="false" ht="21.75" hidden="false" customHeight="true" outlineLevel="0" collapsed="false">
      <c r="A7" s="2"/>
      <c r="B7" s="123" t="s">
        <v>325</v>
      </c>
      <c r="C7" s="123" t="s">
        <v>330</v>
      </c>
      <c r="D7" s="123" t="s">
        <v>21</v>
      </c>
      <c r="E7" s="123" t="s">
        <v>331</v>
      </c>
      <c r="F7" s="123" t="s">
        <v>96</v>
      </c>
      <c r="G7" s="117" t="s">
        <v>315</v>
      </c>
      <c r="H7" s="123" t="s">
        <v>316</v>
      </c>
      <c r="I7" s="123" t="s">
        <v>332</v>
      </c>
      <c r="J7" s="42" t="s">
        <v>333</v>
      </c>
      <c r="K7" s="2"/>
      <c r="L7" s="2"/>
      <c r="M7" s="2"/>
      <c r="N7" s="2"/>
      <c r="O7" s="2"/>
      <c r="P7" s="2"/>
      <c r="Q7" s="2"/>
      <c r="R7" s="2"/>
      <c r="S7" s="2"/>
    </row>
    <row r="8" customFormat="false" ht="21.75" hidden="false" customHeight="true" outlineLevel="0" collapsed="false">
      <c r="A8" s="2"/>
      <c r="B8" s="124" t="s">
        <v>334</v>
      </c>
      <c r="C8" s="124" t="s">
        <v>335</v>
      </c>
      <c r="D8" s="124" t="s">
        <v>336</v>
      </c>
      <c r="E8" s="124" t="s">
        <v>337</v>
      </c>
      <c r="F8" s="124" t="s">
        <v>105</v>
      </c>
      <c r="G8" s="118" t="s">
        <v>322</v>
      </c>
      <c r="H8" s="124" t="s">
        <v>338</v>
      </c>
      <c r="I8" s="124" t="s">
        <v>339</v>
      </c>
      <c r="J8" s="40" t="s">
        <v>318</v>
      </c>
      <c r="K8" s="2"/>
      <c r="L8" s="2"/>
      <c r="M8" s="2"/>
      <c r="N8" s="2"/>
      <c r="O8" s="2"/>
      <c r="P8" s="2"/>
      <c r="Q8" s="2"/>
      <c r="R8" s="2"/>
      <c r="S8" s="2"/>
    </row>
    <row r="9" customFormat="false" ht="21.75" hidden="false" customHeight="true" outlineLevel="0" collapsed="false">
      <c r="A9" s="2"/>
      <c r="B9" s="123" t="s">
        <v>334</v>
      </c>
      <c r="C9" s="123" t="s">
        <v>340</v>
      </c>
      <c r="D9" s="123" t="s">
        <v>10</v>
      </c>
      <c r="E9" s="123" t="s">
        <v>341</v>
      </c>
      <c r="F9" s="123" t="s">
        <v>342</v>
      </c>
      <c r="G9" s="106" t="s">
        <v>322</v>
      </c>
      <c r="H9" s="123" t="s">
        <v>311</v>
      </c>
      <c r="I9" s="123" t="s">
        <v>343</v>
      </c>
      <c r="J9" s="117" t="s">
        <v>318</v>
      </c>
      <c r="K9" s="2"/>
      <c r="L9" s="2"/>
      <c r="M9" s="2"/>
      <c r="N9" s="2"/>
      <c r="O9" s="2"/>
      <c r="P9" s="2"/>
      <c r="Q9" s="2"/>
      <c r="R9" s="2"/>
      <c r="S9" s="2"/>
    </row>
    <row r="10" customFormat="false" ht="21.75" hidden="false" customHeight="true" outlineLevel="0" collapsed="false">
      <c r="A10" s="2"/>
      <c r="B10" s="124" t="s">
        <v>344</v>
      </c>
      <c r="C10" s="124" t="s">
        <v>345</v>
      </c>
      <c r="D10" s="124" t="s">
        <v>21</v>
      </c>
      <c r="E10" s="124" t="s">
        <v>346</v>
      </c>
      <c r="F10" s="124" t="s">
        <v>96</v>
      </c>
      <c r="G10" s="118" t="s">
        <v>322</v>
      </c>
      <c r="H10" s="124" t="s">
        <v>316</v>
      </c>
      <c r="I10" s="124" t="s">
        <v>347</v>
      </c>
      <c r="J10" s="45" t="s">
        <v>333</v>
      </c>
      <c r="K10" s="2"/>
      <c r="L10" s="2"/>
      <c r="M10" s="2"/>
      <c r="N10" s="2"/>
      <c r="O10" s="2"/>
      <c r="P10" s="2"/>
      <c r="Q10" s="2"/>
      <c r="R10" s="2"/>
      <c r="S10" s="2"/>
    </row>
    <row r="11" customFormat="false" ht="21.75" hidden="false" customHeight="true" outlineLevel="0" collapsed="false">
      <c r="A11" s="2"/>
      <c r="B11" s="123" t="s">
        <v>344</v>
      </c>
      <c r="C11" s="123" t="s">
        <v>348</v>
      </c>
      <c r="D11" s="123" t="s">
        <v>336</v>
      </c>
      <c r="E11" s="123" t="s">
        <v>349</v>
      </c>
      <c r="F11" s="123" t="s">
        <v>87</v>
      </c>
      <c r="G11" s="125" t="s">
        <v>350</v>
      </c>
      <c r="H11" s="123" t="s">
        <v>351</v>
      </c>
      <c r="I11" s="123" t="s">
        <v>352</v>
      </c>
      <c r="J11" s="106" t="s">
        <v>13</v>
      </c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</sheetData>
  <mergeCells count="1">
    <mergeCell ref="B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2026-05-13T00:20:29Z</dcterms:created>
  <dc:creator>openpyxl</dc:creator>
  <dc:description/>
  <dc:language>en-US</dc:language>
  <cp:lastModifiedBy/>
  <dcterms:modified xsi:type="dcterms:W3CDTF">2026-05-13T07:21:02Z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